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fdf3780c07c4590/ドキュメント/業務改善生成AI研修/SUMURAI DOJO/20251218_財務分析アプリ/"/>
    </mc:Choice>
  </mc:AlternateContent>
  <xr:revisionPtr revIDLastSave="1436" documentId="11_AD4D066CA252ABDACC1048DFA955F49473EEDF52" xr6:coauthVersionLast="47" xr6:coauthVersionMax="47" xr10:uidLastSave="{0219E4C7-BF76-4999-8DBC-99AC73B224F1}"/>
  <bookViews>
    <workbookView xWindow="-38310" yWindow="-21720" windowWidth="38640" windowHeight="21120" activeTab="1" xr2:uid="{00000000-000D-0000-FFFF-FFFF00000000}"/>
  </bookViews>
  <sheets>
    <sheet name="開発の進め方・進捗" sheetId="1" r:id="rId1"/>
    <sheet name="①要件定義書" sheetId="2" r:id="rId2"/>
    <sheet name="②機能一覧" sheetId="3" r:id="rId3"/>
    <sheet name="③機能仕様書" sheetId="10" r:id="rId4"/>
    <sheet name="⑤クラス図" sheetId="5" r:id="rId5"/>
    <sheet name="未作成→" sheetId="16" r:id="rId6"/>
    <sheet name="④データ項目表" sheetId="4" r:id="rId7"/>
    <sheet name="⑥シーケンス図" sheetId="6" r:id="rId8"/>
    <sheet name="⑫テスト仕様書・結果報告書" sheetId="8" r:id="rId9"/>
    <sheet name="⑫想定結果" sheetId="15" r:id="rId10"/>
    <sheet name="ダッシュボード詳細" sheetId="19" r:id="rId11"/>
    <sheet name="⑧DB設計書" sheetId="11" r:id="rId12"/>
    <sheet name="⑦ER図" sheetId="7" r:id="rId13"/>
    <sheet name="⑨画面一覧" sheetId="9" r:id="rId14"/>
    <sheet name="⑩ワイヤーフレーム" sheetId="12" r:id="rId15"/>
    <sheet name="⑪画面設計書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  <c r="D11" i="15" s="1"/>
  <c r="E7" i="15"/>
  <c r="E11" i="15" s="1"/>
  <c r="F7" i="15"/>
  <c r="F11" i="15" s="1"/>
  <c r="G7" i="15"/>
  <c r="G11" i="15" s="1"/>
  <c r="G19" i="15" s="1"/>
  <c r="H7" i="15"/>
  <c r="H11" i="15" s="1"/>
  <c r="I7" i="15"/>
  <c r="I11" i="15" s="1"/>
  <c r="J7" i="15"/>
  <c r="J11" i="15" s="1"/>
  <c r="J19" i="15" s="1"/>
  <c r="I19" i="15" l="1"/>
  <c r="H19" i="15"/>
  <c r="F19" i="15"/>
  <c r="E19" i="15"/>
  <c r="D19" i="15"/>
  <c r="J16" i="15"/>
</calcChain>
</file>

<file path=xl/sharedStrings.xml><?xml version="1.0" encoding="utf-8"?>
<sst xmlns="http://schemas.openxmlformats.org/spreadsheetml/2006/main" count="1108" uniqueCount="837">
  <si>
    <t>1. 要件の整理</t>
  </si>
  <si>
    <t>2. 各機能の詳細化</t>
  </si>
  <si>
    <t>3. データベース設計</t>
  </si>
  <si>
    <t>4. 画面設計</t>
  </si>
  <si>
    <t>5. 実装（プログラミング）</t>
  </si>
  <si>
    <t>6. テスト</t>
  </si>
  <si>
    <t>作るものの全体像を固める</t>
  </si>
  <si>
    <t>機能ごとの必要情報を整理</t>
  </si>
  <si>
    <t>工程</t>
  </si>
  <si>
    <t>目的</t>
  </si>
  <si>
    <t>作業内容</t>
  </si>
  <si>
    <t>成果物</t>
  </si>
  <si>
    <t>必要な場合のみDBを設計</t>
  </si>
  <si>
    <t>操作画面のイメージを作成</t>
  </si>
  <si>
    <t>設計内容をコード化</t>
  </si>
  <si>
    <t>仕様通りに動作するか確認</t>
  </si>
  <si>
    <t>項目</t>
  </si>
  <si>
    <t>内容記入欄</t>
  </si>
  <si>
    <t>背景・目的</t>
  </si>
  <si>
    <t>対象ユーザー／利用シーン</t>
  </si>
  <si>
    <t>機能一覧（必須／任意）</t>
  </si>
  <si>
    <t>入力情報／出力情報</t>
  </si>
  <si>
    <t>非機能要件（性能、セキュリティ、運用条件など）</t>
  </si>
  <si>
    <t>機能概要</t>
  </si>
  <si>
    <t>データ型</t>
  </si>
  <si>
    <t>桁数／制約条件</t>
  </si>
  <si>
    <t>初期値／デフォルト値</t>
  </si>
  <si>
    <t>備考</t>
  </si>
  <si>
    <t>クラス名</t>
  </si>
  <si>
    <t>テーブル名</t>
  </si>
  <si>
    <t>カラム名</t>
  </si>
  <si>
    <t>入力項目（項目名・型・必須／任意）</t>
  </si>
  <si>
    <t>ボタン／リンク（名称・動作内容）</t>
  </si>
  <si>
    <t>画面遷移（遷移元／遷移先／条件）</t>
  </si>
  <si>
    <t>メッセージ表示（エラー／完了／警告）</t>
  </si>
  <si>
    <t>テストID／項目名</t>
  </si>
  <si>
    <t>テスト内容</t>
  </si>
  <si>
    <t>入力値（正常系／異常系）</t>
  </si>
  <si>
    <t>期待値</t>
  </si>
  <si>
    <t>実施者</t>
  </si>
  <si>
    <t>実施日</t>
  </si>
  <si>
    <t>結果（OK／NG）</t>
  </si>
  <si>
    <t>①要件定義書</t>
  </si>
  <si>
    <t>①要件定義書</t>
    <phoneticPr fontId="2"/>
  </si>
  <si>
    <t>④クラス図</t>
    <phoneticPr fontId="2"/>
  </si>
  <si>
    <t>⑤シーケンス図</t>
    <phoneticPr fontId="2"/>
  </si>
  <si>
    <t>⑥ER図</t>
    <phoneticPr fontId="2"/>
  </si>
  <si>
    <t>②機能一覧</t>
  </si>
  <si>
    <t>機能ID</t>
  </si>
  <si>
    <t>機能名</t>
  </si>
  <si>
    <t>詳細仕様リンク</t>
  </si>
  <si>
    <t>F001</t>
  </si>
  <si>
    <t>商品登録</t>
  </si>
  <si>
    <t>F002</t>
  </si>
  <si>
    <t>F003</t>
  </si>
  <si>
    <t>②機能一覧表</t>
    <rPh sb="3" eb="5">
      <t>イチラン</t>
    </rPh>
    <rPh sb="5" eb="6">
      <t>ヒョウ</t>
    </rPh>
    <phoneticPr fontId="2"/>
  </si>
  <si>
    <t>③機能仕様書</t>
  </si>
  <si>
    <t>③機能仕様書</t>
    <phoneticPr fontId="2"/>
  </si>
  <si>
    <t>④データ項目表</t>
  </si>
  <si>
    <t>④データ項目表</t>
    <phoneticPr fontId="2"/>
  </si>
  <si>
    <t>⑤クラス図</t>
  </si>
  <si>
    <t>⑥シーケンス図</t>
  </si>
  <si>
    <t>⑦ER図</t>
  </si>
  <si>
    <t>主キー</t>
  </si>
  <si>
    <t>外部キー</t>
  </si>
  <si>
    <t>関係（1対多／多対多など）</t>
  </si>
  <si>
    <t>User</t>
  </si>
  <si>
    <t>user_id</t>
  </si>
  <si>
    <t>-</t>
  </si>
  <si>
    <t>User 1対多 Order</t>
  </si>
  <si>
    <t>Product</t>
  </si>
  <si>
    <t>product_id</t>
  </si>
  <si>
    <t>Product 多対多 Order</t>
  </si>
  <si>
    <t>Order</t>
  </si>
  <si>
    <t>order_id</t>
  </si>
  <si>
    <t>user_id, product_id</t>
  </si>
  <si>
    <t>Order 多対1 User／Order 多対多 Product</t>
  </si>
  <si>
    <t>制約（PK／FK／NOT NULL／UNIQUEなど）</t>
  </si>
  <si>
    <t>INT</t>
  </si>
  <si>
    <t>PK, AUTO_INCREMENT</t>
  </si>
  <si>
    <t>ユーザー識別子</t>
  </si>
  <si>
    <t>name</t>
  </si>
  <si>
    <t>VARCHAR(50)</t>
  </si>
  <si>
    <t>NOT NULL</t>
  </si>
  <si>
    <t>ユーザー名</t>
  </si>
  <si>
    <t>email</t>
  </si>
  <si>
    <t>VARCHAR(100)</t>
  </si>
  <si>
    <t>UNIQUE, NOT NULL</t>
  </si>
  <si>
    <t>メールアドレス</t>
  </si>
  <si>
    <t>商品識別子</t>
  </si>
  <si>
    <t>商品名</t>
  </si>
  <si>
    <t>price</t>
  </si>
  <si>
    <t>DECIMAL(10,2)</t>
  </si>
  <si>
    <t>商品価格</t>
  </si>
  <si>
    <t>注文識別子</t>
  </si>
  <si>
    <t>FK → User.user_id</t>
  </si>
  <si>
    <t>注文者</t>
  </si>
  <si>
    <t>FK → Product.product_id</t>
  </si>
  <si>
    <t>注文商品</t>
  </si>
  <si>
    <t>quantity</t>
  </si>
  <si>
    <t>注文数量</t>
  </si>
  <si>
    <t>⑧DB設計書（詳細仕様）</t>
    <phoneticPr fontId="2"/>
  </si>
  <si>
    <t>⑧テスト仕様書・結果報告書</t>
    <rPh sb="8" eb="10">
      <t>ケッカ</t>
    </rPh>
    <rPh sb="10" eb="13">
      <t>ホウコクショ</t>
    </rPh>
    <phoneticPr fontId="2"/>
  </si>
  <si>
    <t>⑧DB設計書</t>
  </si>
  <si>
    <t>画面ID</t>
  </si>
  <si>
    <t>画面名</t>
  </si>
  <si>
    <t>概要</t>
  </si>
  <si>
    <t>遷移元</t>
  </si>
  <si>
    <t>遷移先</t>
  </si>
  <si>
    <t>S001</t>
  </si>
  <si>
    <t>ログイン画面</t>
  </si>
  <si>
    <t>ユーザー認証を行う</t>
  </si>
  <si>
    <t>メインメニュー</t>
  </si>
  <si>
    <t>S002</t>
  </si>
  <si>
    <t>機能選択を行う</t>
  </si>
  <si>
    <t>商品登録／検索／注文画面</t>
  </si>
  <si>
    <t>S003</t>
  </si>
  <si>
    <t>商品登録画面</t>
  </si>
  <si>
    <t>商品情報を入力・保存</t>
  </si>
  <si>
    <t>登録完了画面</t>
  </si>
  <si>
    <t>S004</t>
  </si>
  <si>
    <t>商品検索画面</t>
  </si>
  <si>
    <t>商品を条件で検索</t>
  </si>
  <si>
    <t>検索結果画面</t>
  </si>
  <si>
    <t>S005</t>
  </si>
  <si>
    <t>注文画面</t>
  </si>
  <si>
    <t>商品を注文する</t>
  </si>
  <si>
    <t>注文完了画面</t>
  </si>
  <si>
    <t>レイアウト図（貼付欄）</t>
  </si>
  <si>
    <t>主な要素（入力欄／ボタン／リンク）</t>
  </si>
  <si>
    <t>（図を貼り付け）</t>
  </si>
  <si>
    <t>ユーザーID入力欄／パスワード入力欄／ログインボタン</t>
  </si>
  <si>
    <t>商品登録ボタン／商品検索ボタン／注文ボタン</t>
  </si>
  <si>
    <t>ユーザーID（文字列・必須）</t>
  </si>
  <si>
    <t>パスワード（文字列・必須）</t>
  </si>
  <si>
    <t>ログインボタン（認証処理呼び出し）</t>
  </si>
  <si>
    <t>- → メインメニュー（認証成功時）</t>
  </si>
  <si>
    <t>エラー：認証失敗時「IDまたはパスワードが違います」</t>
  </si>
  <si>
    <t>商品登録ボタン（登録画面へ遷移）</t>
  </si>
  <si>
    <t>商品検索ボタン（検索画面へ遷移）</t>
  </si>
  <si>
    <t>ログイン画面 → メインメニュー</t>
  </si>
  <si>
    <t>⑨画面一覧</t>
  </si>
  <si>
    <t>⑨画面一覧</t>
    <phoneticPr fontId="2"/>
  </si>
  <si>
    <t>⑩ワイヤーフレーム（ラフ図）</t>
    <phoneticPr fontId="2"/>
  </si>
  <si>
    <t>⑪画面設計書（詳細仕様）</t>
    <phoneticPr fontId="2"/>
  </si>
  <si>
    <t>⑩ワイヤーフレーム</t>
  </si>
  <si>
    <t>⑪画面設計書</t>
  </si>
  <si>
    <t>ソースコード</t>
    <phoneticPr fontId="2"/>
  </si>
  <si>
    <t>⑫テスト仕様書・結果報告書</t>
  </si>
  <si>
    <t>作成目的</t>
    <rPh sb="0" eb="2">
      <t>サクセイ</t>
    </rPh>
    <rPh sb="2" eb="4">
      <t>モクテキ</t>
    </rPh>
    <phoneticPr fontId="2"/>
  </si>
  <si>
    <t>システムの目的・対象・機能を明確にするため</t>
  </si>
  <si>
    <t>必要な機能を漏れなく洗い出すため</t>
  </si>
  <si>
    <t>各機能の処理内容・入出力・連携を定義するため</t>
  </si>
  <si>
    <t>各機能で扱うデータの型・制約を整理するため</t>
  </si>
  <si>
    <t>データ構造とクラス間の関係を可視化するため</t>
  </si>
  <si>
    <t>処理の流れとオブジェクト間のやりとりを明確にするため</t>
  </si>
  <si>
    <t>テーブル構造と関係性を図で表すため</t>
  </si>
  <si>
    <t>テーブルの詳細仕様（カラム・型・制約）を定義するため</t>
  </si>
  <si>
    <t>システムに必要な画面を整理し、全体構成を把握するため</t>
  </si>
  <si>
    <t>各画面のレイアウトや要素配置をラフに設計するため</t>
  </si>
  <si>
    <t>入力項目・ボタン・遷移・メッセージなどの詳細仕様を定義するため</t>
  </si>
  <si>
    <t>- 機能一覧を作成
- 画面ごとの操作内容を明確化
- 入力情報・出力情報を定義</t>
    <phoneticPr fontId="2"/>
  </si>
  <si>
    <t>- 必要なデータ（変数）を決定
- 他機能との情報の受け渡しを定義
- メソッドの引数・戻り値を決定</t>
    <phoneticPr fontId="2"/>
  </si>
  <si>
    <t>- 必要なテーブル洗い出し
- 各テーブルの属性（カラム）を決定
- 主キー・外部キーを検討</t>
    <phoneticPr fontId="2"/>
  </si>
  <si>
    <t>- 画面レイアウト設計
- 入力項目・ボタンを決定
- 画面遷移図を作成</t>
    <phoneticPr fontId="2"/>
  </si>
  <si>
    <t>- 機能の中身をプログラミング
- 画面とDBを組み合わせて実装</t>
    <phoneticPr fontId="2"/>
  </si>
  <si>
    <t>- 単体テスト（省略可）
- 結合テスト（必須）
- 正常系・異常系の確認
- テスト仕様書作成</t>
    <phoneticPr fontId="2"/>
  </si>
  <si>
    <t>テスト項目・入力値・期待値を整理し、検証計画を立てるため
テスト実施結果と不具合を記録し、品質を確認するため</t>
    <phoneticPr fontId="2"/>
  </si>
  <si>
    <t>T001</t>
  </si>
  <si>
    <t>登録成功</t>
  </si>
  <si>
    <t>OK</t>
  </si>
  <si>
    <t>商品名＝"りんご"
価格＝100</t>
    <phoneticPr fontId="2"/>
  </si>
  <si>
    <t>図貼付</t>
    <rPh sb="0" eb="1">
      <t>ズ</t>
    </rPh>
    <rPh sb="1" eb="3">
      <t>チョウフ</t>
    </rPh>
    <phoneticPr fontId="2"/>
  </si>
  <si>
    <t>（ここにER図を貼付）</t>
    <phoneticPr fontId="2"/>
  </si>
  <si>
    <t>N/A</t>
    <phoneticPr fontId="2"/>
  </si>
  <si>
    <t>進捗</t>
    <rPh sb="0" eb="2">
      <t>シンチョク</t>
    </rPh>
    <phoneticPr fontId="2"/>
  </si>
  <si>
    <t>未着手</t>
  </si>
  <si>
    <t>完了</t>
  </si>
  <si>
    <t>F004</t>
  </si>
  <si>
    <t>F005</t>
  </si>
  <si>
    <t>F006</t>
  </si>
  <si>
    <t>トマト</t>
  </si>
  <si>
    <t>キャベツ</t>
  </si>
  <si>
    <t>レタス</t>
  </si>
  <si>
    <t>白菜</t>
  </si>
  <si>
    <t>ほうれん草</t>
  </si>
  <si>
    <t>ニンジン</t>
  </si>
  <si>
    <t>しきい値</t>
  </si>
  <si>
    <t>追加量</t>
  </si>
  <si>
    <t>役割</t>
  </si>
  <si>
    <t>主な属性</t>
  </si>
  <si>
    <t>主なメソッド</t>
  </si>
  <si>
    <t>関連クラス</t>
  </si>
  <si>
    <t>smtp_config</t>
  </si>
  <si>
    <t>PlantUML対応エディタ↓に貼り付けてクラス図を表示する</t>
    <phoneticPr fontId="2"/>
  </si>
  <si>
    <t>https://www.plantuml.com/plantuml/uml/SyfFKj2rKt3CoKnELR1Io4ZDoSa700001</t>
    <phoneticPr fontId="2"/>
  </si>
  <si>
    <t>シーケンス図を生成AIで作成</t>
    <rPh sb="5" eb="6">
      <t>ズ</t>
    </rPh>
    <rPh sb="7" eb="9">
      <t>セイセイ</t>
    </rPh>
    <rPh sb="12" eb="14">
      <t>サクセイ</t>
    </rPh>
    <phoneticPr fontId="2"/>
  </si>
  <si>
    <t>PlantUML対応エディタ↓に貼り付けてシーケンス図を表示する</t>
    <phoneticPr fontId="2"/>
  </si>
  <si>
    <t>F007</t>
  </si>
  <si>
    <t>F008</t>
  </si>
  <si>
    <t>項目名</t>
  </si>
  <si>
    <t>引数名</t>
  </si>
  <si>
    <t>メール本文</t>
  </si>
  <si>
    <t>mail_body</t>
  </si>
  <si>
    <t>文字列</t>
  </si>
  <si>
    <t>任意</t>
  </si>
  <si>
    <t>空文字</t>
  </si>
  <si>
    <t>発注準備機能で生成される本文（テンプレート形式）</t>
  </si>
  <si>
    <t>SMTP情報</t>
  </si>
  <si>
    <t>辞書</t>
  </si>
  <si>
    <t>必須キーあり</t>
  </si>
  <si>
    <t>Mailtrapから取得</t>
  </si>
  <si>
    <t>メール送信に必要な認証情報</t>
  </si>
  <si>
    <t>送信結果</t>
  </si>
  <si>
    <t>send_result</t>
  </si>
  <si>
    <t>真偽値</t>
  </si>
  <si>
    <t>True/False</t>
  </si>
  <si>
    <t>メール送信の成否</t>
  </si>
  <si>
    <t>更新日付</t>
  </si>
  <si>
    <t>update_date</t>
  </si>
  <si>
    <t>日付</t>
  </si>
  <si>
    <t>YYYY-MM-DD形式</t>
  </si>
  <si>
    <t>実行日</t>
  </si>
  <si>
    <t>在庫更新時に記録される日付</t>
  </si>
  <si>
    <t>処理ログ</t>
  </si>
  <si>
    <t>process_log</t>
  </si>
  <si>
    <t>自動処理の実行結果やエラー記録</t>
  </si>
  <si>
    <t>item_name</t>
  </si>
  <si>
    <t>野菜名（例：トマト、キャベツなど）</t>
  </si>
  <si>
    <t>注文数</t>
  </si>
  <si>
    <t>order_qty</t>
  </si>
  <si>
    <t>整数</t>
  </si>
  <si>
    <t>0以上</t>
  </si>
  <si>
    <t>単一注文ファイル内の数量</t>
  </si>
  <si>
    <t>注文日</t>
  </si>
  <si>
    <t>order_date</t>
  </si>
  <si>
    <t>ファイル名から抽出</t>
  </si>
  <si>
    <t>ファイル名（例：order_◯_20230524.xlsx）より取得</t>
  </si>
  <si>
    <t>注文数（合計）</t>
  </si>
  <si>
    <t>total_orders</t>
  </si>
  <si>
    <t>複数注文ファイルを集計した合計</t>
  </si>
  <si>
    <t>在庫数（最新）</t>
  </si>
  <si>
    <t>stock_qty</t>
  </si>
  <si>
    <t>inventory.xlsxの最終行から取得</t>
  </si>
  <si>
    <t>残在庫数</t>
  </si>
  <si>
    <t>remaining_qty</t>
  </si>
  <si>
    <t>負の値も許容</t>
  </si>
  <si>
    <t>在庫数 − 注文数</t>
  </si>
  <si>
    <t>発注判定の基準となる</t>
  </si>
  <si>
    <t>threshold</t>
  </si>
  <si>
    <t>pickup.xlsxより取得</t>
  </si>
  <si>
    <t>addition_qty</t>
  </si>
  <si>
    <t>発注対象となった場合に使用</t>
  </si>
  <si>
    <t>関連機能</t>
  </si>
  <si>
    <t>属性の説明</t>
  </si>
  <si>
    <t>メソッドの説明</t>
  </si>
  <si>
    <t>クラス図のコードを生成AIで作成</t>
    <rPh sb="3" eb="4">
      <t>ズ</t>
    </rPh>
    <rPh sb="9" eb="11">
      <t>セイセイ</t>
    </rPh>
    <rPh sb="14" eb="16">
      <t>サクセイ</t>
    </rPh>
    <phoneticPr fontId="2"/>
  </si>
  <si>
    <t>想定結果</t>
    <rPh sb="0" eb="2">
      <t>ソウテイ</t>
    </rPh>
    <rPh sb="2" eb="4">
      <t>ケッカ</t>
    </rPh>
    <phoneticPr fontId="2"/>
  </si>
  <si>
    <t>⑫想定結果</t>
  </si>
  <si>
    <t>想定の計算結果を整理するため</t>
    <rPh sb="0" eb="2">
      <t>ソウテイ</t>
    </rPh>
    <rPh sb="3" eb="5">
      <t>ケイサン</t>
    </rPh>
    <rPh sb="5" eb="7">
      <t>ケッカ</t>
    </rPh>
    <rPh sb="8" eb="10">
      <t>セイリ</t>
    </rPh>
    <phoneticPr fontId="2"/>
  </si>
  <si>
    <r>
      <rPr>
        <b/>
        <sz val="18"/>
        <color theme="1"/>
        <rFont val="Segoe UI Emoji"/>
        <family val="2"/>
      </rPr>
      <t>📊</t>
    </r>
    <r>
      <rPr>
        <b/>
        <sz val="18"/>
        <color theme="1"/>
        <rFont val="Meiryo UI"/>
        <family val="3"/>
        <charset val="128"/>
      </rPr>
      <t xml:space="preserve"> 小規模システム開発の進め方・成果物・進捗</t>
    </r>
    <rPh sb="17" eb="20">
      <t>セイカブツ</t>
    </rPh>
    <rPh sb="21" eb="23">
      <t>シンチョク</t>
    </rPh>
    <phoneticPr fontId="2"/>
  </si>
  <si>
    <t>No</t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</si>
  <si>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</si>
  <si>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</si>
  <si>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</si>
  <si>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</si>
  <si>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</si>
  <si>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大根</t>
    <phoneticPr fontId="2"/>
  </si>
  <si>
    <t>注文A</t>
    <rPh sb="0" eb="2">
      <t>チュウモン</t>
    </rPh>
    <phoneticPr fontId="2"/>
  </si>
  <si>
    <t>注文B</t>
    <rPh sb="0" eb="2">
      <t>チュウモン</t>
    </rPh>
    <phoneticPr fontId="2"/>
  </si>
  <si>
    <t>注文C</t>
    <rPh sb="0" eb="2">
      <t>チュウモン</t>
    </rPh>
    <phoneticPr fontId="2"/>
  </si>
  <si>
    <t>注文D</t>
    <rPh sb="0" eb="2">
      <t>チュウモン</t>
    </rPh>
    <phoneticPr fontId="2"/>
  </si>
  <si>
    <t>注文合計</t>
    <rPh sb="0" eb="4">
      <t>チュウモンゴウケイ</t>
    </rPh>
    <phoneticPr fontId="2"/>
  </si>
  <si>
    <t>①〜④の合計</t>
    <phoneticPr fontId="2"/>
  </si>
  <si>
    <t>項目</t>
    <phoneticPr fontId="2"/>
  </si>
  <si>
    <t>計算式</t>
    <phoneticPr fontId="2"/>
  </si>
  <si>
    <t>⑥</t>
    <phoneticPr fontId="2"/>
  </si>
  <si>
    <t>⑦</t>
    <phoneticPr fontId="2"/>
  </si>
  <si>
    <t>残在庫数</t>
    <rPh sb="0" eb="3">
      <t>ザンザイコ</t>
    </rPh>
    <rPh sb="3" eb="4">
      <t>スウ</t>
    </rPh>
    <phoneticPr fontId="2"/>
  </si>
  <si>
    <t>⑥ − ⑤</t>
    <phoneticPr fontId="2"/>
  </si>
  <si>
    <t>⑧</t>
    <phoneticPr fontId="2"/>
  </si>
  <si>
    <t>⑩</t>
    <phoneticPr fontId="2"/>
  </si>
  <si>
    <t>⑦ &lt; ⑧ の場合「発注必要」</t>
    <phoneticPr fontId="2"/>
  </si>
  <si>
    <t>発注数（追加量）</t>
    <phoneticPr fontId="2"/>
  </si>
  <si>
    <t>⑪</t>
    <phoneticPr fontId="2"/>
  </si>
  <si>
    <t>発注後在庫数</t>
    <phoneticPr fontId="2"/>
  </si>
  <si>
    <t>⑫</t>
    <phoneticPr fontId="2"/>
  </si>
  <si>
    <t>⑦ + ⑪</t>
  </si>
  <si>
    <t>在庫</t>
    <rPh sb="0" eb="2">
      <t>ザイコ</t>
    </rPh>
    <phoneticPr fontId="2"/>
  </si>
  <si>
    <t>しきい値</t>
    <phoneticPr fontId="2"/>
  </si>
  <si>
    <t>⑨</t>
    <phoneticPr fontId="2"/>
  </si>
  <si>
    <t>追加量</t>
    <phoneticPr fontId="2"/>
  </si>
  <si>
    <t>発注有無（判定）</t>
    <phoneticPr fontId="2"/>
  </si>
  <si>
    <t>⑩が「必要」の場合は⑨を使用</t>
    <phoneticPr fontId="2"/>
  </si>
  <si>
    <t>④分析コメント</t>
  </si>
  <si>
    <t>①前処理</t>
  </si>
  <si>
    <t>②数値分析</t>
  </si>
  <si>
    <t>③可視化</t>
  </si>
  <si>
    <t>⑤レポート作成</t>
  </si>
  <si>
    <t>kpi_company_period</t>
  </si>
  <si>
    <t>roic_pack</t>
  </si>
  <si>
    <t>trend_10y</t>
  </si>
  <si>
    <t>capital_bridge</t>
  </si>
  <si>
    <t>ai_input_p1..p6.json</t>
  </si>
  <si>
    <t>ai_comments.json</t>
  </si>
  <si>
    <t>JERA</t>
  </si>
  <si>
    <t>電源開発株式会社（J-POWER）連結財務分析ダッシュボード＋生成AIコメント付与システム</t>
    <rPh sb="4" eb="8">
      <t>カブシキカイシャ</t>
    </rPh>
    <phoneticPr fontId="2"/>
  </si>
  <si>
    <t>背景：電力業界（旧一電＋JERA含む）の環境変化（燃料・電力価格変動、脱炭素投資、資本コスト意識の高まり）により、電源開発の財務を「増減」だけでなく 資本配分の妥当性（ROIC&gt;WACC）を軸に説明できる仕組みが必要。
目的：外部公開情報（EDINET/決算短信/TDnet等）を自動取得・整形し、Pythonで KPI・差異分析・ROIC/WACC を算定、Streamlitでダッシュボード（6枚）を提
重視指標の優先順位：①最適資本配分（最重要）／②収益性／③財務安全性／④成長性（②〜④は同程度の重要度）</t>
    <rPh sb="200" eb="201">
      <t>マイ</t>
    </rPh>
    <phoneticPr fontId="2"/>
  </si>
  <si>
    <t>対象ユーザー：経理部・企画部
利用シーン：
1) 決算（四半期/通期）報告：前年差の全体像→要因→示唆
2) 資本政策検討：投資余力/還元余力の確認、ROIC改善議論
3) 中計/投資モニタリング：計画対比、案件ポートフォリオ確認（可能な範囲）
4) 同業比較：旧一電＋JERAを参考枠として相対位置の把握
5) 経営会議・説明資料作成：コメント付きで“説明可能な状態”を短時間で作る</t>
    <rPh sb="7" eb="10">
      <t>ケイリブ</t>
    </rPh>
    <rPh sb="11" eb="14">
      <t>キカクブ</t>
    </rPh>
    <rPh sb="36" eb="38">
      <t>ホウコク</t>
    </rPh>
    <phoneticPr fontId="2"/>
  </si>
  <si>
    <t xml:space="preserve">①前処理（Python）：外部データ取得→標準テーブル化（単位/期間/科目統一、欠損はNULL保持）。
②数値分析（Python）：KPI算定（ROE、自己資本比率、NetDebt、D/E、ICR、ROIC、WACC、FCF等）、前年差/トレンド（10年）、同業比較用正規化、セグメント集計、資本ブリッジ算定。
③可視化（Streamlit）：Page1〜6のダッシュボード表示（フィルタ：会社/期間/セグメント等）。
④分析コメント（生成AI）：ページ/部品単位のコメント生成（根拠数値 numbers_used と注意点 caveats を必須出力）。
⑤レポート化（付与）：④コメントを③のUIに付与（component_idで紐付け）。
⑥配布出力：PDF/HTMLエクスポート、画像出力。
⑦定義管理：KPI辞書（metric_defs）／科目マッピング／セグメント履歴（valid_from/to）／UI部品ID（component_id）管理。
⑧監査性・再現性：算定根拠（入力データの出所・更新日時・バージョン）を保持。
</t>
    <phoneticPr fontId="2"/>
  </si>
  <si>
    <t>ダッシュボード全体構成（6画面）</t>
  </si>
  <si>
    <t>① エグゼクティブ・サマリー（1枚で結論）</t>
  </si>
  <si>
    <r>
      <t>電源開発の</t>
    </r>
    <r>
      <rPr>
        <b/>
        <sz val="11"/>
        <color theme="1"/>
        <rFont val="Yu Gothic"/>
        <family val="3"/>
        <charset val="128"/>
        <scheme val="minor"/>
      </rPr>
      <t>資本効率・健全性・方向性</t>
    </r>
    <r>
      <rPr>
        <sz val="11"/>
        <color theme="1"/>
        <rFont val="Yu Gothic"/>
        <family val="2"/>
        <scheme val="minor"/>
      </rPr>
      <t>を即断させる</t>
    </r>
  </si>
  <si>
    <t>主要KPI</t>
  </si>
  <si>
    <t>ROIC vs WACC</t>
  </si>
  <si>
    <t>ROE</t>
  </si>
  <si>
    <t>自己資本比率</t>
  </si>
  <si>
    <t>営業CF</t>
  </si>
  <si>
    <t>株主還元（配当＋自社株買い）</t>
  </si>
  <si>
    <t>② 最適資本配分ダッシュボード（最重要）</t>
  </si>
  <si>
    <t>資本を使って価値を創っているか？</t>
  </si>
  <si>
    <t>主要ビジュアル</t>
  </si>
  <si>
    <t>1. ROIC vs WACC 散布図</t>
  </si>
  <si>
    <t>横軸：成長率</t>
  </si>
  <si>
    <t>縦軸：ROIC</t>
  </si>
  <si>
    <t>サイズ：投下資本</t>
  </si>
  <si>
    <t>色：事業セグメント</t>
  </si>
  <si>
    <t>2. 事業別 資本配分ウォーターフォール</t>
  </si>
  <si>
    <t>期首投下資本</t>
  </si>
  <si>
    <t>新規投資</t>
  </si>
  <si>
    <t>減価償却</t>
  </si>
  <si>
    <t>期末投下資本</t>
  </si>
  <si>
    <t>3. 価値創造マップ</t>
  </si>
  <si>
    <t>ROIC − WACC &gt; 0 を緑</t>
  </si>
  <si>
    <t>&lt; 0 を赤</t>
  </si>
  <si>
    <t>コメント例（自動生成向き）</t>
  </si>
  <si>
    <t>国内発電は資本効率が大幅改善</t>
  </si>
  <si>
    <t>海外事業は成長性高いがROIC改善余地あり</t>
  </si>
  <si>
    <t>③ 収益性分析（質の高い利益か？）</t>
  </si>
  <si>
    <r>
      <t>利益の「量」ではなく「</t>
    </r>
    <r>
      <rPr>
        <b/>
        <sz val="11"/>
        <color theme="1"/>
        <rFont val="Yu Gothic"/>
        <family val="3"/>
        <charset val="128"/>
        <scheme val="minor"/>
      </rPr>
      <t>質と持続性</t>
    </r>
    <r>
      <rPr>
        <sz val="11"/>
        <color theme="1"/>
        <rFont val="Yu Gothic"/>
        <family val="2"/>
        <scheme val="minor"/>
      </rPr>
      <t>」を見る</t>
    </r>
  </si>
  <si>
    <t>指標</t>
  </si>
  <si>
    <t>売上高・営業利益・EBITDA（5〜10年）</t>
  </si>
  <si>
    <t>営業利益率</t>
  </si>
  <si>
    <t>セグメント別利益構成</t>
  </si>
  <si>
    <t>見せ方</t>
  </si>
  <si>
    <t>上段：PLトレンド（折れ線＋棒）</t>
  </si>
  <si>
    <t>中段：利益率ヒートマップ</t>
  </si>
  <si>
    <t>下段：事業別ミックス円グラフ</t>
  </si>
  <si>
    <t>分析視点</t>
  </si>
  <si>
    <t>燃料市況依存 vs 構造的利益</t>
  </si>
  <si>
    <t>国内発電の回復が“恒常的か？”</t>
  </si>
  <si>
    <t>④ 財務安全性・キャッシュフロー</t>
  </si>
  <si>
    <t>攻めの投資が可能な財務か？</t>
  </si>
  <si>
    <t>主要指標</t>
  </si>
  <si>
    <t>D/Eレシオ</t>
  </si>
  <si>
    <t>営業CF・投資CF・FCF</t>
  </si>
  <si>
    <t>インタレストカバレッジ</t>
  </si>
  <si>
    <t>左：BS構成（積み上げ）</t>
  </si>
  <si>
    <t>右：CF 3本柱</t>
  </si>
  <si>
    <t>下：同業比較バー</t>
  </si>
  <si>
    <t>メッセージ</t>
  </si>
  <si>
    <t>⑤ 成長性・戦略投資モニタリング</t>
  </si>
  <si>
    <t>将来価値を生む投資か？</t>
  </si>
  <si>
    <t>可視化</t>
  </si>
  <si>
    <t>戦略投資額（再エネ／火力転換／海外）</t>
  </si>
  <si>
    <t>設備容量（MW）推移</t>
  </si>
  <si>
    <t>中計KPI進捗率</t>
  </si>
  <si>
    <t>特徴</t>
  </si>
  <si>
    <t>KPI進捗ゲージ（信号色）</t>
  </si>
  <si>
    <t>計画 vs 実績</t>
  </si>
  <si>
    <t>経営視点</t>
  </si>
  <si>
    <t>成長投資は進行中</t>
  </si>
  <si>
    <t>成果は2026年以降に顕在化</t>
  </si>
  <si>
    <t>⑥ 同業他社比較（ポジショニング）</t>
  </si>
  <si>
    <t>比較対象</t>
  </si>
  <si>
    <t>電源開発株式会社</t>
  </si>
  <si>
    <t>東京電力ホールディングス</t>
  </si>
  <si>
    <t>関西電力</t>
  </si>
  <si>
    <t>中部電力</t>
  </si>
  <si>
    <t>比較軸</t>
  </si>
  <si>
    <t>投資余力</t>
  </si>
  <si>
    <t>株主還元姿勢</t>
  </si>
  <si>
    <t>レーダーチャート</t>
  </si>
  <si>
    <t>順位ヒートマップ</t>
  </si>
  <si>
    <t>一言まとめ</t>
  </si>
  <si>
    <t>売上高</t>
    <rPh sb="0" eb="3">
      <t>ウリアゲダカ</t>
    </rPh>
    <phoneticPr fontId="2"/>
  </si>
  <si>
    <t>当期純利益</t>
    <rPh sb="0" eb="5">
      <t>トウキジュンリエキ</t>
    </rPh>
    <phoneticPr fontId="2"/>
  </si>
  <si>
    <t>「資本コストをほぼ上回る水準まで回復→ 財務余力を背景に成長投資と還元を両立」</t>
    <phoneticPr fontId="2"/>
  </si>
  <si>
    <t>高い自己資本比率が脱炭素投資の「耐久力」を支える</t>
    <phoneticPr fontId="2"/>
  </si>
  <si>
    <t>ストーリー</t>
    <phoneticPr fontId="2"/>
  </si>
  <si>
    <t>電源開発は「派手さはないが、資本の使い方が最も堅実」</t>
    <phoneticPr fontId="2"/>
  </si>
  <si>
    <t>■入力情報（外部取得前提）：
1) EDINET（有報/XBRL）：連結PL/BS/CF、注記、セグメント、株式情報等（年次）
2) 決算短信/決算説明資料（PDF/HTML）：速報、予想、補足KPI、投資内訳等（四半期/通期）
3) TDnet（適時開示）：配当、自己株取得、業績修正、重要イベント（随時）
4) JEPX等（任意）：卸電力価格（ドライバー説明用）
5) 市場データ（任意）：株価、発行株式数、β、国債金利、信用スプレッド等（WACC用）
6) 燃料指標（任意）：LNG/石炭/原油等（要因説明用）
■入力情報（内部設定/マスタ）：
・会社マスタ（company_id、EDINETコード等）
・期間マスタ（period_id、FY/Q、発表日）
・科目マッピング（XBRLタグ→標準科目）
・KPI辞書（metric_defs：定義/単位/例外処理）
・セグメント定義/履歴（valid_from/to）
・UI部品ID対応表（component_map：component_id）
■出力情報：
①整形済みデータ：標準テーブル（Parquet/CSV）
②分析結果：KPI集計テーブル、ROICパック、10年トレンド、同業比較、資本ブリッジ、AI入力JSON
③ダッシュボード：Streamlit（Page1〜6）
④コメント：コメントJSON（page/component_id単位）
⑤コメント付与済みダッシュボード（＋任意でPDF/HTML）</t>
    <phoneticPr fontId="2"/>
  </si>
  <si>
    <t>外部データ取得（EDINET）</t>
  </si>
  <si>
    <t>EDINET（有報/XBRL）から連結財務・注記・セグメント等を取得する</t>
  </si>
  <si>
    <t>③機能仕様書：F001</t>
  </si>
  <si>
    <t>外部データ取得（IR資料）</t>
  </si>
  <si>
    <t>決算短信・決算説明資料等（PDF/HTML）を取得し、対象情報を抽出する</t>
  </si>
  <si>
    <t>③機能仕様書：F002</t>
  </si>
  <si>
    <t>外部データ取得（TDnet）</t>
  </si>
  <si>
    <t>適時開示から配当・自社株買い・業績修正等のイベント情報を取得する</t>
  </si>
  <si>
    <t>③機能仕様書：F003</t>
  </si>
  <si>
    <t>外部データ取得（市況・市場）</t>
  </si>
  <si>
    <t>JEPX・株価・金利・燃料等（任意）を取得し、時系列データとして格納する</t>
  </si>
  <si>
    <t>③機能仕様書：F004</t>
  </si>
  <si>
    <t>データ標準化（前処理）</t>
  </si>
  <si>
    <t>取得データを単位/期間/科目/会社/セグメントの標準形式に整形し、標準テーブルを出力する</t>
  </si>
  <si>
    <t>③機能仕様書：F005</t>
  </si>
  <si>
    <t>マスタ管理（会社・期間・セグメント）</t>
  </si>
  <si>
    <t>会社/期間/セグメント定義（履歴含む）を管理し、分析・表示のキーを提供する</t>
  </si>
  <si>
    <t>③機能仕様書：F006</t>
  </si>
  <si>
    <t>科目マッピング管理</t>
  </si>
  <si>
    <t>XBRLタグ/資料項目を標準勘定科目にマップし、計算対象項目を統一する</t>
  </si>
  <si>
    <t>③機能仕様書：F007</t>
  </si>
  <si>
    <t>KPI辞書管理（metric_defs）</t>
  </si>
  <si>
    <t>指標定義（計算式/単位/例外/注記ルール）を管理し、計算と表示の正本とする</t>
  </si>
  <si>
    <t>③機能仕様書：F008</t>
  </si>
  <si>
    <t>F009</t>
  </si>
  <si>
    <t>KPI計算（全社）</t>
  </si>
  <si>
    <t>ROE、自己資本比率、NetDebt、D/E、ICR、利益率等を計算し集計テーブルを出力する</t>
  </si>
  <si>
    <t>③機能仕様書：F009</t>
  </si>
  <si>
    <t>F010</t>
  </si>
  <si>
    <t>ROIC/WACC計算</t>
  </si>
  <si>
    <t>NOPAT、投下資本、ROIC、WACC、スプレッド（ROIC−WACC）を計算する</t>
  </si>
  <si>
    <t>③機能仕様書：F010</t>
  </si>
  <si>
    <t>F011</t>
  </si>
  <si>
    <t>トレンド分析（10年）</t>
  </si>
  <si>
    <t>売上・利益・利益率等の10年推移、YoY、CAGRを算定し可視化用に整形する</t>
  </si>
  <si>
    <t>③機能仕様書：F011</t>
  </si>
  <si>
    <t>F012</t>
  </si>
  <si>
    <t>セグメント分析</t>
  </si>
  <si>
    <t>セグメント別の売上/利益/ミックス/成長（可能なら資産・投資）を算定する</t>
  </si>
  <si>
    <t>③機能仕様書：F012</t>
  </si>
  <si>
    <t>F013</t>
  </si>
  <si>
    <t>資本配分ブリッジ計算</t>
  </si>
  <si>
    <t>投下資本の増減（期首→投資→償却→その他→期末）をウォーターフォール用に算定する</t>
  </si>
  <si>
    <t>③機能仕様書：F013</t>
  </si>
  <si>
    <t>F014</t>
  </si>
  <si>
    <t>同業比較（ベンチマーク）</t>
  </si>
  <si>
    <t>旧一電等の同業データを同一定義で整形し、ランキング/ヒートマップ/レーダー用に加工する</t>
  </si>
  <si>
    <t>③機能仕様書：F014</t>
  </si>
  <si>
    <t>F015</t>
  </si>
  <si>
    <t>計画対比（Plan vs Actual）</t>
  </si>
  <si>
    <t>中計/目標値（外部開示の範囲）と実績を紐付け、進捗率を算定する</t>
  </si>
  <si>
    <t>③機能仕様書：F015</t>
  </si>
  <si>
    <t>F016</t>
  </si>
  <si>
    <t>AI入力生成（ページ別サマリ）</t>
  </si>
  <si>
    <t>生成AIに渡す最小JSON（page別・component別）を生成し、根拠数値を整理する</t>
  </si>
  <si>
    <t>③機能仕様書：F016</t>
  </si>
  <si>
    <t>F017</t>
  </si>
  <si>
    <t>ダッシュボード表示（共通）</t>
  </si>
  <si>
    <t>Streamlitで共通UI（会社/期間/セグメント選択、ナビ、キャッシュ）を提供する</t>
  </si>
  <si>
    <t>③機能仕様書：F017</t>
  </si>
  <si>
    <t>F018</t>
  </si>
  <si>
    <t>ダッシュボード表示（Page1）</t>
  </si>
  <si>
    <t>Executive Summary（KPIタイル、ROICvsWACC、CF、還元）を表示する</t>
  </si>
  <si>
    <t>③機能仕様書：F018</t>
  </si>
  <si>
    <t>F019</t>
  </si>
  <si>
    <t>ダッシュボード表示（Page2）</t>
  </si>
  <si>
    <t>Capital Allocation（散布図、価値マップ、資本ブリッジ）を表示する</t>
  </si>
  <si>
    <t>③機能仕様書：F019</t>
  </si>
  <si>
    <t>F020</t>
  </si>
  <si>
    <t>ダッシュボード表示（Page3）</t>
  </si>
  <si>
    <t>Profitability（10年PL、利益率、セグミックス、メモ）を表示する</t>
  </si>
  <si>
    <t>③機能仕様書：F020</t>
  </si>
  <si>
    <t>F021</t>
  </si>
  <si>
    <t>ダッシュボード表示（Page4）</t>
  </si>
  <si>
    <t>Financial Safety &amp; CF（BS構造、CF、健全性、同業比較）を表示する</t>
  </si>
  <si>
    <t>③機能仕様書：F021</t>
  </si>
  <si>
    <t>F022</t>
  </si>
  <si>
    <t>ダッシュボード表示（Page5）</t>
  </si>
  <si>
    <t>Growth &amp; Investment（投資内訳、計画対比、案件）を表示する</t>
  </si>
  <si>
    <t>③機能仕様書：F022</t>
  </si>
  <si>
    <t>F023</t>
  </si>
  <si>
    <t>ダッシュボード表示（Page6）</t>
  </si>
  <si>
    <t>Peer Comparison（ヒートマップ、レーダー、分解）を表示する</t>
  </si>
  <si>
    <t>③機能仕様書：F023</t>
  </si>
  <si>
    <t>F024</t>
  </si>
  <si>
    <t>生成AIコメント生成</t>
  </si>
  <si>
    <t>ページ/部品ごとに要因分析コメントを生成し、JSONで出力する（numbers_used/caveats必須）</t>
  </si>
  <si>
    <t>③機能仕様書：F024</t>
  </si>
  <si>
    <t>F025</t>
  </si>
  <si>
    <t>コメント付与（UI埋め込み）</t>
  </si>
  <si>
    <t>component_idでコメントを紐付け、カード/注釈/ツールチップとしてダッシュボードに表示する</t>
  </si>
  <si>
    <t>③機能仕様書：F025</t>
  </si>
  <si>
    <t>F026</t>
  </si>
  <si>
    <t>エクスポート（任意）</t>
  </si>
  <si>
    <t>コメント付きダッシュボードのPDF/HTML/画像出力を行う</t>
  </si>
  <si>
    <t>③機能仕様書：F026</t>
  </si>
  <si>
    <t>F027</t>
  </si>
  <si>
    <t>定期更新（任意）</t>
  </si>
  <si>
    <t>外部取得〜集計〜コメント生成までをスケジュール実行する</t>
  </si>
  <si>
    <t>③機能仕様書：F027</t>
  </si>
  <si>
    <t>F028</t>
  </si>
  <si>
    <t>データ品質チェック（任意）</t>
  </si>
  <si>
    <t>欠損/異常値/比較不能（セグ変更など）を検知し、警告・一覧を出力する</t>
  </si>
  <si>
    <t>③機能仕様書：F028</t>
  </si>
  <si>
    <t>F029</t>
  </si>
  <si>
    <t>ログ・監査証跡</t>
  </si>
  <si>
    <t>③機能仕様書：F029</t>
  </si>
  <si>
    <t>区分</t>
  </si>
  <si>
    <t>Page</t>
  </si>
  <si>
    <t>主要KPI／主要ビジュアル</t>
  </si>
  <si>
    <t>要点／備考</t>
  </si>
  <si>
    <t>Page 1</t>
  </si>
  <si>
    <t>Page 2</t>
  </si>
  <si>
    <t>Page 3</t>
  </si>
  <si>
    <t>Page 4</t>
  </si>
  <si>
    <t>Page 5</t>
  </si>
  <si>
    <t>Page 6</t>
  </si>
  <si>
    <t>参考：ダッシュボード構成</t>
    <rPh sb="0" eb="2">
      <t>サンコウ</t>
    </rPh>
    <rPh sb="10" eb="12">
      <t>コウセイ</t>
    </rPh>
    <phoneticPr fontId="2"/>
  </si>
  <si>
    <t>エグゼクティブ・サマリー</t>
    <phoneticPr fontId="2"/>
  </si>
  <si>
    <t>経営層が3分で「今期の評価」と「次の打ち手」を理解</t>
    <phoneticPr fontId="2"/>
  </si>
  <si>
    <t>KPI: ROIC（vs WACC）; ROE; 自己資本比率; 営業CF; 株主還元（配当＋自社株買い）</t>
    <phoneticPr fontId="2"/>
  </si>
  <si>
    <t>資本効率の現在地・財務余力・投資と還元のバランスを同時表示</t>
    <phoneticPr fontId="2"/>
  </si>
  <si>
    <t>市況要因と構造要因を分けて持続性を評価</t>
    <phoneticPr fontId="2"/>
  </si>
  <si>
    <t>主要ビジュアル: PLトレンド（売上／営業利益／EBITDA）10年; 利益率の推移（営業・経常・純利）; セグメント別利益ミックス; 自動コメント欄（前年差要因や非経常要因）</t>
    <phoneticPr fontId="2"/>
  </si>
  <si>
    <t>持続可能な利益かを判定；非経常要因の注記で解釈を補助</t>
    <phoneticPr fontId="2"/>
  </si>
  <si>
    <t>投資の「進捗」と「回収見込み」を同じ画面で管理</t>
    <phoneticPr fontId="2"/>
  </si>
  <si>
    <t>主要ビジュアル: 戦略投資の内訳（再エネ／火力転換／海外／送変電 等）; 案件ポートフォリオ（回収年数×IRR×リスク）; KPI進捗（計画 vs 実績; 信号表示）</t>
    <phoneticPr fontId="2"/>
  </si>
  <si>
    <t>投資案件ごとの回収見込みとリスクを一元管理；中計達成度の即時把握</t>
    <phoneticPr fontId="2"/>
  </si>
  <si>
    <t>最適資本配分（最重要）</t>
    <phoneticPr fontId="2"/>
  </si>
  <si>
    <t>どの事業に資本を使い、価値を生んだかを可視化</t>
    <phoneticPr fontId="2"/>
  </si>
  <si>
    <t>主要ビジュアル: ROIC×成長率（サイズ＝投下資本; 色＝セグメント）; 投下資本の増減ウォーターフォール（期首→投資→償却→期末）; 価値創造マップ（ROIC−WACCのプラス/マイナス）</t>
    <phoneticPr fontId="2"/>
  </si>
  <si>
    <t>投下資本ごとの価値創出を一目で把握；意思決定用の優先順位提示</t>
    <phoneticPr fontId="2"/>
  </si>
  <si>
    <t>収益性（質の高い利益か？）</t>
    <phoneticPr fontId="2"/>
  </si>
  <si>
    <t>財務安全性・キャッシュフロー（攻められる財務か？）</t>
    <phoneticPr fontId="2"/>
  </si>
  <si>
    <t>成長投資に耐える財務か、還元余力があるかを確認</t>
    <phoneticPr fontId="2"/>
  </si>
  <si>
    <t>主要ビジュアル: BS構造（資産・負債・純資産）; CF（営業／投資／財務）＋FCF; 健全性KPI（自己資本比率; D/E; 格付; 金利感応度）; 同業比較（旧一電＋JERA）</t>
    <phoneticPr fontId="2"/>
  </si>
  <si>
    <t>成長投資余力と還元余力の同時評価；ストレス要因の可視化</t>
    <phoneticPr fontId="2"/>
  </si>
  <si>
    <t>成長性・戦略投資モニタリング（中計の進捗）</t>
    <phoneticPr fontId="2"/>
  </si>
  <si>
    <t>同業比較（ポジショニング）</t>
    <phoneticPr fontId="2"/>
  </si>
  <si>
    <t>電源開発の強みと課題を相対化して説明可能にする</t>
    <phoneticPr fontId="2"/>
  </si>
  <si>
    <t>主要ビジュアル: ランキング／ヒートマップ（ROE; 自己資本比率; 営業CF; 還元姿勢）; レーダー（資本効率×安全性×成長×還元）; ドライバー分解（数量×単価×燃料×制度要因）</t>
    <phoneticPr fontId="2"/>
  </si>
  <si>
    <t>競合優位点と改善領域を明確化；説明資料用のスナップショット提供</t>
    <phoneticPr fontId="2"/>
  </si>
  <si>
    <t>システム名</t>
    <phoneticPr fontId="2"/>
  </si>
  <si>
    <t>取得元/取得日時/バージョン、KPI定義版、コメント生成条件を記録する</t>
  </si>
  <si>
    <t>入力データ（要約）</t>
  </si>
  <si>
    <t>出力データ（要約）</t>
  </si>
  <si>
    <t>処理内容（要約）</t>
  </si>
  <si>
    <t>Streamlit共通UI</t>
  </si>
  <si>
    <t>Page1画面</t>
  </si>
  <si>
    <t>Page2画面</t>
  </si>
  <si>
    <t>Page3画面</t>
  </si>
  <si>
    <t>→F025</t>
  </si>
  <si>
    <t>Page4画面</t>
  </si>
  <si>
    <t>Page5画面</t>
  </si>
  <si>
    <t>Page6画面</t>
  </si>
  <si>
    <t>コメント付き画面</t>
  </si>
  <si>
    <t>他機能との連携（要約）</t>
  </si>
  <si>
    <t>dim_company(edinet_code), 取得条件, API設定</t>
  </si>
  <si>
    <t>raw/edinet, raw_edinet_index, (任意)raw_edinet_xbrl_values</t>
  </si>
  <si>
    <t>書類検索→docDL→raw保存→index化→(任意)XBRLパース</t>
  </si>
  <si>
    <t>→F005標準化, →F029ログ, →F028警告(任意)</t>
  </si>
  <si>
    <t>dim_company, 取得条件(短信/説明/中計等), 抽出設定</t>
  </si>
  <si>
    <t>raw/ir, raw_ir_index, (任意)raw_ir_tables</t>
  </si>
  <si>
    <t>URL収集→DL→raw保存→index化→(任意)PDF表抽出</t>
  </si>
  <si>
    <t>→F005補完, →F015(Plan)材料, →F029ログ</t>
  </si>
  <si>
    <t>dim_company(ticker), 取得条件</t>
  </si>
  <si>
    <t>raw/tdnet, raw_tdnet_index, (任意)raw_tdnet_events</t>
  </si>
  <si>
    <t>開示一覧→DL→分類→(任意)イベント抽出</t>
  </si>
  <si>
    <t>→F005でfact_capital_policy, →F018/21表示, →F029ログ</t>
  </si>
  <si>
    <t>取得条件(期間/粒度), データソース設定</t>
  </si>
  <si>
    <t>raw/market等, (推奨)raw_*_index, (任意)raw系列</t>
  </si>
  <si>
    <t>JEPX/株価/金利/燃料取得→raw保存→index化</t>
  </si>
  <si>
    <t>→F005でfact_*化, →F010(WACC), →F020/23補助</t>
  </si>
  <si>
    <t>raw(F001-4), dim_*, account_mapping</t>
  </si>
  <si>
    <t>fact_fin_pl/bs/cf/segment/capital_policy等, (任意)dq_flags</t>
  </si>
  <si>
    <t>単位/期間/科目/会社/セグ統一→NULL保持→標準出力</t>
  </si>
  <si>
    <t>→F009/10/11/…正本, →F028DQ, →F029ログ</t>
  </si>
  <si>
    <t>会社リスト/識別子, 期間定義, セグ定義/履歴</t>
  </si>
  <si>
    <t>dim_company, dim_period, dim_segment</t>
  </si>
  <si>
    <t>登録/更新、period生成、セグ履歴管理、整合チェック</t>
  </si>
  <si>
    <t>→F001-4取得キー, →F005キー, →F017フィルタ</t>
  </si>
  <si>
    <t>XBRLタグ, IR抽出項目, mapping定義</t>
  </si>
  <si>
    <t>account_mapping, (任意)未対応一覧</t>
  </si>
  <si>
    <t>タグ/項目収集→標準科目に紐付け→競合解決→棚卸し</t>
  </si>
  <si>
    <t>→F005変換の核, →F009/10計算安定</t>
  </si>
  <si>
    <t>KPI定義(YAML/CSV)</t>
  </si>
  <si>
    <t>metric_defs, dim_metric</t>
  </si>
  <si>
    <t>定義/単位/例外/注記を単一正本で管理</t>
  </si>
  <si>
    <t>→F009/10/11/14計算正本, →F024へ定義提供</t>
  </si>
  <si>
    <t>fact_fin_pl/bs/cf, metric_defs</t>
  </si>
  <si>
    <t>KPI算定＋YoY/前年差＋例外NULL/フラグ</t>
  </si>
  <si>
    <t>→F018/21/23, →F016 AI入力</t>
  </si>
  <si>
    <t>fact_fin_pl/bs, (任意)fact_market_daily, metric_defs</t>
  </si>
  <si>
    <t>NOPAT/投下資本/ROIC/WACC/Spread算定＋判定列</t>
  </si>
  <si>
    <t>→F018/19/23, →F024根拠</t>
  </si>
  <si>
    <t>fact_fin_pl(等), metric_defs, FY範囲</t>
  </si>
  <si>
    <t>指標抽出→YoY/差→CAGR(欠年はNULL)</t>
  </si>
  <si>
    <t>→F020, →F016/24の長期コメント</t>
  </si>
  <si>
    <t>fact_segment, dim_segment</t>
  </si>
  <si>
    <t>segment_mix, (任意)segment_kpis</t>
  </si>
  <si>
    <t>履歴統一→構成比/成長/利益率等算定</t>
  </si>
  <si>
    <t>→F019/20, →F016/24</t>
  </si>
  <si>
    <t>fact_fin_bs, fact_fin_cf, (任意)償却等</t>
  </si>
  <si>
    <t>IC期首期末→CAPEX/償却/WC/M&amp;A/other分解</t>
  </si>
  <si>
    <t>→F019, →F016/24</t>
  </si>
  <si>
    <t>同業kpi_company_period, roic_pack, 比較会社/期間</t>
  </si>
  <si>
    <t>peer_rank, (任意)peer_score</t>
  </si>
  <si>
    <t>横並び→rank/percentile/正規化→補正/注記フラグ</t>
  </si>
  <si>
    <t>→F021/23, →F016/24</t>
  </si>
  <si>
    <t>fact_plan_kpi, fact_actual_kpi, 対応表</t>
  </si>
  <si>
    <t>plan_vs_actual</t>
  </si>
  <si>
    <t>計画×実績突合→進捗/ギャップ算定→欠損理由</t>
  </si>
  <si>
    <t>→F022, →F016/24</t>
  </si>
  <si>
    <t>各集計(F009-15等), metric_defs</t>
  </si>
  <si>
    <t>必要最小限抽出＋YoY/フラグ＋caveats＋numbers_used粒度</t>
  </si>
  <si>
    <t>→F024入力</t>
  </si>
  <si>
    <t>dim_*, 各集計, (任意)ai_comments</t>
  </si>
  <si>
    <t>フィルタ/ナビ/キャッシュ/ component_id付与</t>
  </si>
  <si>
    <t>→F018-23呼出, →F025付与</t>
  </si>
  <si>
    <t>kpi_company_period, roic_pack, capital_policy, (任意)コメント</t>
  </si>
  <si>
    <t>KPIタイル/ROICvsWACC/CF/還元＋コメント枠</t>
  </si>
  <si>
    <t>→F025, →F026(任意)</t>
  </si>
  <si>
    <t>roic_pack(seg), segment_mix, capital_bridge, wacc, (任意)コメント</t>
  </si>
  <si>
    <t>ROIC×成長散布/ブリッジ/価値マップ＋連動</t>
  </si>
  <si>
    <t>→F016/24, →F025</t>
  </si>
  <si>
    <t>trend_10y, segment_mix, (任意)市況, コメント</t>
  </si>
  <si>
    <t>10年PL/利益率/ミックス＋要因メモ</t>
  </si>
  <si>
    <t>fact_fin_bs/cf, kpi_company_period, peer_rank, コメント</t>
  </si>
  <si>
    <t>BS/CF/健全性KPI/同業比較</t>
  </si>
  <si>
    <t>plan_vs_actual, (任意)投資案件, コメント</t>
  </si>
  <si>
    <t>計画対比/投資内訳/案件ポートフォリオ</t>
  </si>
  <si>
    <t>peer_rank, kpi_company_period, roic_pack, コメント</t>
  </si>
  <si>
    <t>ヒートマップ/レーダー/（任意）分解</t>
  </si>
  <si>
    <t>ai_input_pX.json, metric_defs</t>
  </si>
  <si>
    <t>page/component別に生成（numbers_used/caveats必須）</t>
  </si>
  <si>
    <t>→F025付与, →F029監査(任意)</t>
  </si>
  <si>
    <t>ai_comments.json, component_id</t>
  </si>
  <si>
    <t>component_id紐付け→カード表示→根拠折畳→caveats常表示</t>
  </si>
  <si>
    <t>→F018-23に付与</t>
  </si>
  <si>
    <t>画面/図表, ai_comments, 出力設定</t>
  </si>
  <si>
    <t>PDF/HTML/画像, export_index</t>
  </si>
  <si>
    <t>ページ/全体出力、コメント込みレンダリング、出力管理</t>
  </si>
  <si>
    <t>←F018-23+F025結果, →F029ログ(任意)</t>
  </si>
  <si>
    <t>スケジュール, 対象会社/期間, 更新対象</t>
  </si>
  <si>
    <t>run結果, 更新済みraw/標準/集計/コメント</t>
  </si>
  <si>
    <t>run_id発行→パイプライン連鎖→差分更新→リトライ/部分成功</t>
  </si>
  <si>
    <t>→F029, →F028</t>
  </si>
  <si>
    <t>標準テーブル, 主要KPI, チェックルール</t>
  </si>
  <si>
    <t>dq_flags, dq_report</t>
  </si>
  <si>
    <t>欠損/整合/過大変動/比較不能検知→警告生成</t>
  </si>
  <si>
    <t>→F017警告(任意), →F029</t>
  </si>
  <si>
    <t>実行情報, raw_*_index, KPI辞書版, (任意)AI条件</t>
  </si>
  <si>
    <t>run_log, data_lineage, (任意)ai_audit_log</t>
  </si>
  <si>
    <t>run/系譜/定義版/AI条件を記録し再現性を担保</t>
  </si>
  <si>
    <t>全機能のログ受け皿</t>
  </si>
  <si>
    <t>EdinetFetcher</t>
  </si>
  <si>
    <t>EDINETから有報/XBRLを取得し、raw保存＋インデックス化</t>
  </si>
  <si>
    <t>http_client
base_url
download_dir
index_repo
audit_logger</t>
  </si>
  <si>
    <t>EDINET API呼び出し／保存先／取得ログ保存先／監査ログ</t>
  </si>
  <si>
    <t>fetch_documents()
download_doc()
write_index()</t>
  </si>
  <si>
    <t>提出書類検索→doc単位DL→raw保存→raw_edinet_indexへ記録</t>
  </si>
  <si>
    <t>MasterDataRegistry, RawStore, IndexRepository, AuditLogger</t>
  </si>
  <si>
    <t>IRFetcher</t>
  </si>
  <si>
    <t>IRサイトから決算短信/説明資料/中計等を取得（PDF/HTML）</t>
  </si>
  <si>
    <t>crawler_rules
download_dir
index_repo
audit_logger
(table_extractor)</t>
  </si>
  <si>
    <t>サイト構造ルール／保存先／取得ログ／（任意）表抽出器</t>
  </si>
  <si>
    <t>discover_links()
download_assets()
write_index()</t>
  </si>
  <si>
    <t>リンク収集→資料DL→raw保存→raw_ir_indexへ記録（表抽出は任意）</t>
  </si>
  <si>
    <t>TDnetFetcher</t>
  </si>
  <si>
    <t>TDnet適時開示を取得し、配当/自社株等を分類して保存</t>
  </si>
  <si>
    <t>ticker
category_rules
download_dir
index_repo
audit_logger</t>
  </si>
  <si>
    <t>証券コード／分類ルール／保存先／取得ログ</t>
  </si>
  <si>
    <t>fetch_disclosures()
download_release()
classify()
write_index()</t>
  </si>
  <si>
    <t>開示一覧取得→資料DL→カテゴリ判定→raw_tdnet_indexへ記録</t>
  </si>
  <si>
    <t>MarketDataFetcher</t>
  </si>
  <si>
    <t>市況（JEPX/株価/金利/燃料等）を取得しraw保存＋index化</t>
  </si>
  <si>
    <t>clients(jepx,market,fuel)
download_dir
index_repo
audit_logger</t>
  </si>
  <si>
    <t>各データソース用クライアント／保存先／取得ログ</t>
  </si>
  <si>
    <t>fetch_jepx()
fetch_market()
fetch_fuel()
write_index()</t>
  </si>
  <si>
    <t>取得範囲でダウンロード→raw保存→raw_*_indexへ記録</t>
  </si>
  <si>
    <t>RawStore, IndexRepository, AuditLogger</t>
  </si>
  <si>
    <t>DataStandardizer</t>
  </si>
  <si>
    <t>rawデータを標準テーブル（fact/dim）へ正規化（単位・科目・期間）</t>
  </si>
  <si>
    <t>master_registry
mapping_registry
unit_converter
fact_repo
dq_checker</t>
  </si>
  <si>
    <t>会社/期間/セグ／科目マッピング／単位換算／出力先／品質チェック</t>
  </si>
  <si>
    <t>standardize_pl()
standardize_bs()
standardize_cf()
standardize_segment()
write_facts()</t>
  </si>
  <si>
    <t>raw→標準科目→単位統一→欠損はNULL保持→fact_*へ保存</t>
  </si>
  <si>
    <t>MasterDataRegistry, AccountMappingRegistry, FactRepository, DataQualityChecker</t>
  </si>
  <si>
    <t>MasterDataRegistry</t>
  </si>
  <si>
    <t>会社・期間・セグメントのマスタ管理（履歴含む）</t>
  </si>
  <si>
    <t>companies
periods
segments
peer_groups</t>
  </si>
  <si>
    <t>dim_company/dim_period/dim_segmentを保持し解決APIを提供</t>
  </si>
  <si>
    <t>load()
upsert_company()
build_periods()
resolve_segment()</t>
  </si>
  <si>
    <t>マスタ読込/更新、期間生成、セグ履歴の解決（valid_from/to）</t>
  </si>
  <si>
    <t>DataStandardizer, Fetchers, DashboardApp</t>
  </si>
  <si>
    <t>AccountMappingRegistry</t>
  </si>
  <si>
    <t>XBRL/抽出項目→標準科目のマッピング管理</t>
  </si>
  <si>
    <t>mapping_table
version
validation_rules</t>
  </si>
  <si>
    <t>科目対応表、版管理、未対応検知ルール</t>
  </si>
  <si>
    <t>load_mapping()
map_account()
validate_coverage()</t>
  </si>
  <si>
    <t>標準化に使う変換ルールを提供し、未対応科目を棚卸し</t>
  </si>
  <si>
    <t>DataStandardizer, AuditLogger</t>
  </si>
  <si>
    <t>MetricDefinitionRegistry</t>
  </si>
  <si>
    <t>KPI/計算式/例外/注記（caveat）を一元管理</t>
  </si>
  <si>
    <t>metric_defs
formula_engine
version</t>
  </si>
  <si>
    <t>指標定義（単位/計算）と版管理</t>
  </si>
  <si>
    <t>load_defs()
get_metric()
validate_formulas()</t>
  </si>
  <si>
    <t>指標定義をロードし、計算エンジンへ提供（再現性担保）</t>
  </si>
  <si>
    <t>KPIEngine, ROICWACCEngine, AIInputBuilder, AICommentGenerator</t>
  </si>
  <si>
    <t>KPIEngine</t>
  </si>
  <si>
    <t>全社KPI（収益性/安全性/成長性等）を計算</t>
  </si>
  <si>
    <t>fact_repo
metric_registry
output_repo</t>
  </si>
  <si>
    <t>入力fact、指標定義、出力先</t>
  </si>
  <si>
    <t>compute_kpis()
calc_yoy()
write_kpi_table()</t>
  </si>
  <si>
    <t>会社×期間でKPI算定、YoY/前年差、例外はNULL＋フラグ</t>
  </si>
  <si>
    <t>DataStandardizer, MetricDefinitionRegistry, DashboardPages</t>
  </si>
  <si>
    <t>ROICWACCEngine</t>
  </si>
  <si>
    <t>ROIC/WACC/スプレッド（最適資本配分の中核）を計算</t>
  </si>
  <si>
    <t>fact_repo
market_repo
metric_registry
assumption_set</t>
  </si>
  <si>
    <t>財務fact＋市場データ＋前提（税率/リスクフリー等）</t>
  </si>
  <si>
    <t>compute_nopat()
compute_invested_capital()
compute_roic()
compute_wacc()</t>
  </si>
  <si>
    <t>NOPAT/投下資本/ROIC、WACCは推定フラグ付きで算定</t>
  </si>
  <si>
    <t>MarketDataFetcher, MetricDefinitionRegistry, DashboardPages</t>
  </si>
  <si>
    <t>TrendAnalyzer</t>
  </si>
  <si>
    <t>10年トレンド（YoY/CAGR）を作成</t>
  </si>
  <si>
    <t>fact_repo
metric_registry
window_years</t>
  </si>
  <si>
    <t>入力fact、指標定義、対象年数</t>
  </si>
  <si>
    <t>build_trend()
calc_cagr()
write_trend_table()</t>
  </si>
  <si>
    <t>長期系列を整備し、CAGRなどを算定（欠年はNULL）</t>
  </si>
  <si>
    <t>KPIEngine, DashboardPages, AIInputBuilder</t>
  </si>
  <si>
    <t>SegmentAnalyzer</t>
  </si>
  <si>
    <t>セグメント構成/成長/収益性の分析データを作成</t>
  </si>
  <si>
    <t>segment_fact_repo
master_registry
metric_registry</t>
  </si>
  <si>
    <t>セグメントfact、履歴解決、指標定義</t>
  </si>
  <si>
    <t>build_segment_mix()
compute_segment_kpis()</t>
  </si>
  <si>
    <t>セグ名履歴を吸収し、構成比・利益率等を算定</t>
  </si>
  <si>
    <t>MasterDataRegistry, DashboardPages, AIInputBuilder</t>
  </si>
  <si>
    <t>CapitalBridgeEngine</t>
  </si>
  <si>
    <t>投下資本の増減（CAPEX/償却/WC/M&amp;A等）をブリッジ化</t>
  </si>
  <si>
    <t>fact_repo
bridge_rules</t>
  </si>
  <si>
    <t>投下資本定義と分解ルール</t>
  </si>
  <si>
    <t>compute_invested_capital()
build_bridge()</t>
  </si>
  <si>
    <t>期首期末ICを定義に沿って算定し、要因分解（不足はotherへ）</t>
  </si>
  <si>
    <t>ROICWACCEngine, DashboardPages, AIInputBuilder</t>
  </si>
  <si>
    <t>PeerBenchmarkEngine</t>
  </si>
  <si>
    <t>同業比較（順位/偏差/正規化スコア）を作成</t>
  </si>
  <si>
    <t>kpi_repo
peer_group_config
normalizer</t>
  </si>
  <si>
    <t>比較対象の定義、正規化方法</t>
  </si>
  <si>
    <t>build_peer_rank()
normalize_scores()</t>
  </si>
  <si>
    <t>同業のKPIを横並び化し、rank/percentile/scoreを作成</t>
  </si>
  <si>
    <t>PlanActualEngine</t>
  </si>
  <si>
    <t>計画（中計/目標）と実績の対比データを作成</t>
  </si>
  <si>
    <t>plan_repo
actual_repo
kpi_name_map</t>
  </si>
  <si>
    <t>計画KPI、実績KPI、名称ゆれ対応表</t>
  </si>
  <si>
    <t>load_plan()
merge_plan_actual()
calc_progress()</t>
  </si>
  <si>
    <t>計画と実績を突合し、進捗率/ギャップを算定（欠損理由保持）</t>
  </si>
  <si>
    <t>IRFetcher, DashboardPages, AIInputBuilder</t>
  </si>
  <si>
    <t>AIInputBuilder</t>
  </si>
  <si>
    <t>生成AI用の入力（ページ別・数値根拠付き）を生成</t>
  </si>
  <si>
    <t>page_specs
metric_registry
data_provider</t>
  </si>
  <si>
    <t>ページごとの必要指標セット、定義、データ取得口</t>
  </si>
  <si>
    <t>build_page_input()
serialize_json()</t>
  </si>
  <si>
    <t>numbers_used/caveatsを含む最小入力JSONを生成</t>
  </si>
  <si>
    <t>KPIEngine, ROICWACCEngine, AICommentGenerator</t>
  </si>
  <si>
    <t>DashboardApp</t>
  </si>
  <si>
    <t>Streamlitダッシュボード（共通UI・フィルタ・ルーティング）</t>
  </si>
  <si>
    <t>pages
filter_state
data_provider
comment_binder</t>
  </si>
  <si>
    <t>ページ群、フィルタ状態、データ提供、コメント付与器</t>
  </si>
  <si>
    <t>run()
render_sidebar()
route()</t>
  </si>
  <si>
    <t>フィルタ→ページ描画→コメント表示の共通動作を提供</t>
  </si>
  <si>
    <t>DashboardPageBase, CommentBinder, ExportService</t>
  </si>
  <si>
    <t>ExecutivePage</t>
  </si>
  <si>
    <t>Page1：エグゼクティブサマリ（KPI/ROIC/還元）</t>
  </si>
  <si>
    <t>data_provider
comment_binder
view_config</t>
  </si>
  <si>
    <t>表示用データ取得、コメント表示、表示設定</t>
  </si>
  <si>
    <t>load_view_model()
render()</t>
  </si>
  <si>
    <t>主要KPIタイル＋ROICvsWACC＋CF/還元の要点を表示</t>
  </si>
  <si>
    <t>DashboardApp, KPIEngine, ROICWACCEngine, CommentBinder</t>
  </si>
  <si>
    <t>CapitalAllocationPage</t>
  </si>
  <si>
    <t>Page2：最適資本配分（投下資本・ROIC・ブリッジ）</t>
  </si>
  <si>
    <t>分析データ、コメント、表示設定</t>
  </si>
  <si>
    <t>散布図/ブリッジ/価値マップで資本配分の意思決定支援</t>
  </si>
  <si>
    <t>DashboardApp, ROICWACCEngine, CapitalBridgeEngine, CommentBinder</t>
  </si>
  <si>
    <t>ProfitabilityPage</t>
  </si>
  <si>
    <t>Page3：収益性（10年PL/利益率/ミックス）</t>
  </si>
  <si>
    <t>トレンド/セグ等の参照</t>
  </si>
  <si>
    <t>10年の構造変化を可視化（利益率・構成比）</t>
  </si>
  <si>
    <t>DashboardApp, TrendAnalyzer, SegmentAnalyzer, CommentBinder</t>
  </si>
  <si>
    <t>SafetyCFPage</t>
  </si>
  <si>
    <t>Page4：財務安全性・CF（BS/CF/同業比較）</t>
  </si>
  <si>
    <t>BS/CF/KPI/同業比較の参照</t>
  </si>
  <si>
    <t>BS構造、CF、健全性KPI、peer比較を表示</t>
  </si>
  <si>
    <t>DashboardApp, KPIEngine, PeerBenchmarkEngine, CommentBinder</t>
  </si>
  <si>
    <t>GrowthInvestPage</t>
  </si>
  <si>
    <t>Page5：成長性・投資（計画対比/投資内訳）</t>
  </si>
  <si>
    <t>計画対比、投資情報（任意）</t>
  </si>
  <si>
    <t>Plan vs Actual、投資内訳、案件ポートフォリオ（任意）</t>
  </si>
  <si>
    <t>DashboardApp, PlanActualEngine, CommentBinder</t>
  </si>
  <si>
    <t>PeerComparisonPage</t>
  </si>
  <si>
    <t>Page6：同業比較（ヒートマップ/レーダー）</t>
  </si>
  <si>
    <t>同業比較データ参照</t>
  </si>
  <si>
    <t>ヒートマップ/レーダーで相対ポジションを表示</t>
  </si>
  <si>
    <t>DashboardApp, PeerBenchmarkEngine, CommentBinder</t>
  </si>
  <si>
    <t>AICommentGenerator</t>
  </si>
  <si>
    <t>生成AIで要因コメントを生成（numbers_used/caveats必須）</t>
  </si>
  <si>
    <t>llm_client
prompt_templates
validator
metric_registry</t>
  </si>
  <si>
    <t>LLM呼び出し、プロンプト、検証器、指標定義</t>
  </si>
  <si>
    <t>generate_comments()
validate_comment()
write_comments()</t>
  </si>
  <si>
    <t>ページ/コンポーネント別に生成→根拠数値と注意点を検証して保存</t>
  </si>
  <si>
    <t>AIInputBuilder, CommentBinder, AuditLogger</t>
  </si>
  <si>
    <t>CommentBinder</t>
  </si>
  <si>
    <t>コメントをUIコンポーネントに付与（component_idで紐付け）</t>
  </si>
  <si>
    <t>comments_store
component_map
render_policy</t>
  </si>
  <si>
    <t>コメント格納先、component_id対応、表示ルール</t>
  </si>
  <si>
    <t>bind()
get_comment()
render_card()</t>
  </si>
  <si>
    <t>component_idでコメント取得し、UI上にカード表示（根拠は折りたたみ）</t>
  </si>
  <si>
    <t>DashboardApp, DashboardPages, AICommentGenerator</t>
  </si>
  <si>
    <t>ExportService</t>
  </si>
  <si>
    <t>ダッシュボード/コメント付きレポートを出力（任意）</t>
  </si>
  <si>
    <t>export_config
renderer
storage</t>
  </si>
  <si>
    <t>出力形式/出力先、レンダラ、保存先</t>
  </si>
  <si>
    <t>export_page()
export_all()
write_export_index()</t>
  </si>
  <si>
    <t>ページ単位/全体の静的出力（HTML/PDF等）と履歴管理</t>
  </si>
  <si>
    <t>DashboardApp, CommentBinder, AuditLogger</t>
  </si>
  <si>
    <t>PipelineOrchestrator</t>
  </si>
  <si>
    <t>定期更新・一括実行（取得→標準化→分析→コメント）</t>
  </si>
  <si>
    <t>schedule_config
fetchers
standardizer
engines
ai_modules
audit_logger</t>
  </si>
  <si>
    <t>実行設定、各モジュール群、監査ログ</t>
  </si>
  <si>
    <t>run_pipeline()
run_incremental()
run_full()</t>
  </si>
  <si>
    <t>差分更新（前回以降）を基本に、失敗時は部分成功/リトライを制御</t>
  </si>
  <si>
    <t>F001-F026全体, DataQualityChecker, AuditLogger</t>
  </si>
  <si>
    <t>DataQualityChecker</t>
  </si>
  <si>
    <t>データ品質チェック（欠損/整合/比較不能）</t>
  </si>
  <si>
    <t>rules
fact_repo
report_store</t>
  </si>
  <si>
    <t>チェックルール、入力fact、レポート出力先</t>
  </si>
  <si>
    <t>run_checks()
make_dq_report()</t>
  </si>
  <si>
    <t>欠損・整合（PL/BS/CF）・外れ値を検知し、警告/レポート生成</t>
  </si>
  <si>
    <t>DataStandardizer, DashboardApp, AuditLogger</t>
  </si>
  <si>
    <t>AuditLogger</t>
  </si>
  <si>
    <t>監査証跡（run_log/lineage/AI条件）を記録</t>
  </si>
  <si>
    <t>run_log_repo
lineage_repo
ai_audit_repo</t>
  </si>
  <si>
    <t>実行ログ、データ系譜、AI監査ログの保存先</t>
  </si>
  <si>
    <t>log_run_start()
log_run_end()
log_lineage()
log_ai_audit()</t>
  </si>
  <si>
    <t>出所URL/ハッシュ/定義版/モデル情報を記録し再現性を担保</t>
  </si>
  <si>
    <t>全クラス（横断）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</si>
</sst>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3.5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Segoe UI Emoji"/>
      <family val="2"/>
    </font>
    <font>
      <b/>
      <sz val="18"/>
      <color theme="1"/>
      <name val="Meiryo UI"/>
      <family val="2"/>
      <charset val="128"/>
    </font>
    <font>
      <sz val="11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0"/>
      <color theme="1"/>
      <name val="Arial"/>
      <family val="2"/>
    </font>
    <font>
      <sz val="10"/>
      <color rgb="FF000000"/>
      <name val="Yu Gothic"/>
      <family val="2"/>
      <scheme val="minor"/>
    </font>
    <font>
      <b/>
      <sz val="18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15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0" xfId="1"/>
    <xf numFmtId="0" fontId="6" fillId="2" borderId="2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8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3" borderId="1" xfId="0" applyFont="1" applyFill="1" applyBorder="1"/>
    <xf numFmtId="0" fontId="9" fillId="0" borderId="0" xfId="2" applyFont="1">
      <alignment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3" fillId="0" borderId="1" xfId="1" applyBorder="1" applyAlignment="1">
      <alignment vertical="center" wrapText="1"/>
    </xf>
    <xf numFmtId="0" fontId="11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2" applyFont="1">
      <alignment vertical="center"/>
    </xf>
    <xf numFmtId="0" fontId="12" fillId="0" borderId="1" xfId="2" applyFont="1" applyBorder="1">
      <alignment vertical="center"/>
    </xf>
    <xf numFmtId="0" fontId="12" fillId="5" borderId="1" xfId="2" applyFont="1" applyFill="1" applyBorder="1">
      <alignment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2" applyFont="1">
      <alignment vertical="center"/>
    </xf>
    <xf numFmtId="0" fontId="12" fillId="0" borderId="1" xfId="2" applyFont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0" fontId="9" fillId="5" borderId="1" xfId="2" applyFont="1" applyFill="1" applyBorder="1">
      <alignment vertical="center"/>
    </xf>
    <xf numFmtId="0" fontId="9" fillId="0" borderId="1" xfId="2" applyFont="1" applyBorder="1">
      <alignment vertical="center"/>
    </xf>
    <xf numFmtId="0" fontId="14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vertical="top" wrapText="1"/>
    </xf>
  </cellXfs>
  <cellStyles count="4">
    <cellStyle name="ハイパーリンク" xfId="1" builtinId="8"/>
    <cellStyle name="標準" xfId="0" builtinId="0"/>
    <cellStyle name="標準 2" xfId="2" xr:uid="{D9DDD337-B21E-42EF-A30C-DB22B59835E3}"/>
    <cellStyle name="標準 3" xfId="3" xr:uid="{D34EFD6A-C047-4DED-9445-F1A3FC8267CF}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sp macro="" textlink="">
      <xdr:nvSpPr>
        <xdr:cNvPr id="1025" name="AutoShape 1" descr="画像が生成されました">
          <a:extLst>
            <a:ext uri="{FF2B5EF4-FFF2-40B4-BE49-F238E27FC236}">
              <a16:creationId xmlns:a16="http://schemas.microsoft.com/office/drawing/2014/main" id="{1B4585AA-AB58-FB33-DEE6-34EF3EB238DC}"/>
            </a:ext>
          </a:extLst>
        </xdr:cNvPr>
        <xdr:cNvSpPr>
          <a:spLocks noChangeAspect="1" noChangeArrowheads="1"/>
        </xdr:cNvSpPr>
      </xdr:nvSpPr>
      <xdr:spPr bwMode="auto">
        <a:xfrm>
          <a:off x="11703050" y="3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511175</xdr:colOff>
      <xdr:row>40</xdr:row>
      <xdr:rowOff>111125</xdr:rowOff>
    </xdr:from>
    <xdr:to>
      <xdr:col>7</xdr:col>
      <xdr:colOff>1936447</xdr:colOff>
      <xdr:row>88</xdr:row>
      <xdr:rowOff>168275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50C3AB-A5DD-DCBC-4960-3C92289BD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9525" y="22942550"/>
          <a:ext cx="11740847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6</xdr:row>
      <xdr:rowOff>85725</xdr:rowOff>
    </xdr:from>
    <xdr:to>
      <xdr:col>6</xdr:col>
      <xdr:colOff>1457325</xdr:colOff>
      <xdr:row>45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7BA24B-A728-93A5-D589-9CC91FBA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52550"/>
          <a:ext cx="12963525" cy="754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plantuml.com/plantuml/uml/SyfFKj2rKt3CoKnELR1Io4ZDoSa70000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plantuml.com/plantuml/uml/SyfFKj2rKt3CoKnELR1Io4ZDoSa7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4" sqref="C24"/>
    </sheetView>
  </sheetViews>
  <sheetFormatPr defaultRowHeight="15"/>
  <cols>
    <col min="1" max="2" width="15.9140625" style="3" customWidth="1"/>
    <col min="3" max="3" width="36" style="3" customWidth="1"/>
    <col min="4" max="5" width="34.58203125" style="3" customWidth="1"/>
    <col min="6" max="6" width="10" style="3" customWidth="1"/>
    <col min="7" max="16384" width="8.6640625" style="3"/>
  </cols>
  <sheetData>
    <row r="1" spans="1:6" ht="26">
      <c r="A1" s="20" t="s">
        <v>260</v>
      </c>
    </row>
    <row r="3" spans="1:6">
      <c r="A3" s="5" t="s">
        <v>8</v>
      </c>
      <c r="B3" s="5" t="s">
        <v>9</v>
      </c>
      <c r="C3" s="5" t="s">
        <v>10</v>
      </c>
      <c r="D3" s="8" t="s">
        <v>11</v>
      </c>
      <c r="E3" s="8" t="s">
        <v>149</v>
      </c>
      <c r="F3" s="8" t="s">
        <v>175</v>
      </c>
    </row>
    <row r="4" spans="1:6">
      <c r="A4" s="37" t="s">
        <v>0</v>
      </c>
      <c r="B4" s="37" t="s">
        <v>6</v>
      </c>
      <c r="C4" s="36" t="s">
        <v>161</v>
      </c>
      <c r="D4" s="10" t="s">
        <v>42</v>
      </c>
      <c r="E4" s="4" t="s">
        <v>150</v>
      </c>
      <c r="F4" s="13" t="s">
        <v>177</v>
      </c>
    </row>
    <row r="5" spans="1:6">
      <c r="A5" s="37"/>
      <c r="B5" s="37"/>
      <c r="C5" s="37"/>
      <c r="D5" s="10" t="s">
        <v>47</v>
      </c>
      <c r="E5" s="4" t="s">
        <v>151</v>
      </c>
      <c r="F5" s="13" t="s">
        <v>177</v>
      </c>
    </row>
    <row r="6" spans="1:6" ht="30">
      <c r="A6" s="37" t="s">
        <v>1</v>
      </c>
      <c r="B6" s="37" t="s">
        <v>7</v>
      </c>
      <c r="C6" s="36" t="s">
        <v>162</v>
      </c>
      <c r="D6" s="12" t="s">
        <v>56</v>
      </c>
      <c r="E6" s="4" t="s">
        <v>152</v>
      </c>
      <c r="F6" s="13" t="s">
        <v>177</v>
      </c>
    </row>
    <row r="7" spans="1:6">
      <c r="A7" s="37"/>
      <c r="B7" s="37"/>
      <c r="C7" s="37"/>
      <c r="D7" s="10" t="s">
        <v>58</v>
      </c>
      <c r="E7" s="4" t="s">
        <v>153</v>
      </c>
      <c r="F7" s="13" t="s">
        <v>176</v>
      </c>
    </row>
    <row r="8" spans="1:6">
      <c r="A8" s="37"/>
      <c r="B8" s="37"/>
      <c r="C8" s="37"/>
      <c r="D8" s="10" t="s">
        <v>60</v>
      </c>
      <c r="E8" s="4" t="s">
        <v>154</v>
      </c>
      <c r="F8" s="13" t="s">
        <v>177</v>
      </c>
    </row>
    <row r="9" spans="1:6" ht="30">
      <c r="A9" s="37"/>
      <c r="B9" s="37"/>
      <c r="C9" s="37"/>
      <c r="D9" s="10" t="s">
        <v>61</v>
      </c>
      <c r="E9" s="4" t="s">
        <v>155</v>
      </c>
      <c r="F9" s="13" t="s">
        <v>176</v>
      </c>
    </row>
    <row r="10" spans="1:6">
      <c r="A10" s="37" t="s">
        <v>2</v>
      </c>
      <c r="B10" s="37" t="s">
        <v>12</v>
      </c>
      <c r="C10" s="36" t="s">
        <v>163</v>
      </c>
      <c r="D10" s="10" t="s">
        <v>62</v>
      </c>
      <c r="E10" s="4" t="s">
        <v>156</v>
      </c>
      <c r="F10" s="13" t="s">
        <v>176</v>
      </c>
    </row>
    <row r="11" spans="1:6" ht="30">
      <c r="A11" s="37"/>
      <c r="B11" s="37"/>
      <c r="C11" s="37"/>
      <c r="D11" s="10" t="s">
        <v>103</v>
      </c>
      <c r="E11" s="4" t="s">
        <v>157</v>
      </c>
      <c r="F11" s="13" t="s">
        <v>176</v>
      </c>
    </row>
    <row r="12" spans="1:6" ht="30">
      <c r="A12" s="37" t="s">
        <v>3</v>
      </c>
      <c r="B12" s="37" t="s">
        <v>13</v>
      </c>
      <c r="C12" s="36" t="s">
        <v>164</v>
      </c>
      <c r="D12" s="10" t="s">
        <v>141</v>
      </c>
      <c r="E12" s="4" t="s">
        <v>158</v>
      </c>
      <c r="F12" s="13" t="s">
        <v>176</v>
      </c>
    </row>
    <row r="13" spans="1:6" ht="30">
      <c r="A13" s="37"/>
      <c r="B13" s="37"/>
      <c r="C13" s="37"/>
      <c r="D13" s="10" t="s">
        <v>145</v>
      </c>
      <c r="E13" s="4" t="s">
        <v>159</v>
      </c>
      <c r="F13" s="13" t="s">
        <v>176</v>
      </c>
    </row>
    <row r="14" spans="1:6" ht="30">
      <c r="A14" s="37"/>
      <c r="B14" s="37"/>
      <c r="C14" s="37"/>
      <c r="D14" s="10" t="s">
        <v>146</v>
      </c>
      <c r="E14" s="4" t="s">
        <v>160</v>
      </c>
      <c r="F14" s="13" t="s">
        <v>176</v>
      </c>
    </row>
    <row r="15" spans="1:6" ht="30">
      <c r="A15" s="4" t="s">
        <v>4</v>
      </c>
      <c r="B15" s="4" t="s">
        <v>14</v>
      </c>
      <c r="C15" s="9" t="s">
        <v>165</v>
      </c>
      <c r="D15" s="4" t="s">
        <v>147</v>
      </c>
      <c r="E15" s="4"/>
      <c r="F15" s="13" t="s">
        <v>176</v>
      </c>
    </row>
    <row r="16" spans="1:6" ht="60">
      <c r="A16" s="33" t="s">
        <v>5</v>
      </c>
      <c r="B16" s="34" t="s">
        <v>15</v>
      </c>
      <c r="C16" s="35" t="s">
        <v>166</v>
      </c>
      <c r="D16" s="10" t="s">
        <v>148</v>
      </c>
      <c r="E16" s="4" t="s">
        <v>167</v>
      </c>
      <c r="F16" s="13" t="s">
        <v>176</v>
      </c>
    </row>
    <row r="17" spans="1:6" ht="18">
      <c r="A17" s="33"/>
      <c r="B17" s="34"/>
      <c r="C17" s="35"/>
      <c r="D17" s="19" t="s">
        <v>258</v>
      </c>
      <c r="E17" s="4" t="s">
        <v>259</v>
      </c>
      <c r="F17" s="13" t="s">
        <v>176</v>
      </c>
    </row>
  </sheetData>
  <mergeCells count="15">
    <mergeCell ref="A16:A17"/>
    <mergeCell ref="B16:B17"/>
    <mergeCell ref="C16:C17"/>
    <mergeCell ref="C12:C14"/>
    <mergeCell ref="C4:C5"/>
    <mergeCell ref="C6:C9"/>
    <mergeCell ref="C10:C11"/>
    <mergeCell ref="A10:A11"/>
    <mergeCell ref="B10:B11"/>
    <mergeCell ref="A12:A14"/>
    <mergeCell ref="B12:B14"/>
    <mergeCell ref="A4:A5"/>
    <mergeCell ref="B4:B5"/>
    <mergeCell ref="A6:A9"/>
    <mergeCell ref="B6:B9"/>
  </mergeCells>
  <phoneticPr fontId="2"/>
  <conditionalFormatting sqref="F4:F17">
    <cfRule type="containsText" dxfId="3" priority="1" operator="containsText" text="作業不要">
      <formula>NOT(ISERROR(SEARCH("作業不要",F4)))</formula>
    </cfRule>
    <cfRule type="containsText" dxfId="2" priority="2" operator="containsText" text="完了">
      <formula>NOT(ISERROR(SEARCH("完了",F4)))</formula>
    </cfRule>
    <cfRule type="containsText" dxfId="1" priority="3" operator="containsText" text="作業中">
      <formula>NOT(ISERROR(SEARCH("作業中",F4)))</formula>
    </cfRule>
    <cfRule type="containsText" dxfId="0" priority="4" operator="containsText" text="未着手">
      <formula>NOT(ISERROR(SEARCH("未着手",F4)))</formula>
    </cfRule>
  </conditionalFormatting>
  <dataValidations count="1">
    <dataValidation type="list" allowBlank="1" showInputMessage="1" showErrorMessage="1" sqref="F4:F17" xr:uid="{EEB365EE-76D1-484E-BE3A-8C6E2681A319}">
      <formula1>"未着手,作業中,完了,作業不要"</formula1>
    </dataValidation>
  </dataValidations>
  <hyperlinks>
    <hyperlink ref="D4" location="①要件定義書!A1" display="①要件定義書" xr:uid="{8D9F3717-0198-4061-B3FE-7F1A60599104}"/>
    <hyperlink ref="D5" location="②機能一覧!A1" display="②機能一覧" xr:uid="{98D4BB99-55C7-4CE6-A6DE-D9CA6CD65A2C}"/>
    <hyperlink ref="D7" location="④データ項目表!A1" display="④データ項目表" xr:uid="{72CC960E-1A55-4873-B814-009903D5F109}"/>
    <hyperlink ref="D8" location="⑤クラス図!A1" display="⑤クラス図" xr:uid="{114C9256-602E-49AA-A8DF-CA79167FD661}"/>
    <hyperlink ref="D9" location="⑥シーケンス図!A1" display="⑥シーケンス図" xr:uid="{F08D4C8F-6811-4DAB-AF84-994FB1176151}"/>
    <hyperlink ref="D10" location="⑦ER図!A1" display="⑦ER図" xr:uid="{BEC14B9B-359A-4585-A40C-54D6E054A5F3}"/>
    <hyperlink ref="D6" location="③機能仕様書!A1" display="③機能仕様書" xr:uid="{4749AA6C-32A0-4561-B2D0-2C605A58ECEF}"/>
    <hyperlink ref="D11" location="⑧DB設計書!A1" display="⑧DB設計書" xr:uid="{248B4839-9F52-4988-9985-8CD58AAAA6D1}"/>
    <hyperlink ref="D12" location="⑨画面一覧!A1" display="⑨画面一覧" xr:uid="{CFC35DC4-1773-4D0A-9575-40445E62E1C4}"/>
    <hyperlink ref="D13" location="⑩ワイヤーフレーム!A1" display="⑩ワイヤーフレーム" xr:uid="{4A703700-91B8-47E2-B5A9-605F34ABF608}"/>
    <hyperlink ref="D14" location="⑪画面設計書!A1" display="⑪画面設計書" xr:uid="{603DF5D1-819C-49A4-AD22-B9569152C5B7}"/>
    <hyperlink ref="D16" location="⑫テスト仕様書・結果報告書!A1" display="⑫テスト仕様書・結果報告書" xr:uid="{4DF64F46-27A2-458E-84F2-6D336D9EFD6B}"/>
    <hyperlink ref="D17" location="⑫想定結果!A1" display="⑫想定結果" xr:uid="{67E53511-A105-460D-93D6-C6E222E950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DBD5-9A70-49E3-9DD3-4F047A31FFD0}">
  <dimension ref="A1:E20"/>
  <sheetViews>
    <sheetView tabSelected="1" zoomScaleNormal="100" workbookViewId="0">
      <pane ySplit="3" topLeftCell="A4" activePane="bottomLeft" state="frozen"/>
      <selection pane="bottomLeft" activeCell="M6" sqref="M6"/>
    </sheetView>
  </sheetViews>
  <sheetFormatPr defaultRowHeight="15"/>
  <cols>
    <col min="1" max="1" width="16.33203125" style="3" customWidth="1"/>
    <col min="2" max="2" width="21.4140625" style="3" customWidth="1"/>
    <col min="3" max="3" width="19.4140625" style="3" customWidth="1"/>
    <col min="4" max="4" width="42.83203125" style="3" customWidth="1"/>
    <col min="5" max="5" width="46" style="3" customWidth="1"/>
    <col min="6" max="6" width="27.25" style="3" customWidth="1"/>
    <col min="7" max="7" width="45" style="3" customWidth="1"/>
    <col min="8" max="8" width="39.58203125" style="3" customWidth="1"/>
    <col min="9" max="16384" width="8.6640625" style="3"/>
  </cols>
  <sheetData>
    <row r="1" spans="1:5" ht="19">
      <c r="A1" s="2" t="s">
        <v>43</v>
      </c>
    </row>
    <row r="3" spans="1:5">
      <c r="A3" s="5" t="s">
        <v>16</v>
      </c>
      <c r="B3" s="44" t="s">
        <v>17</v>
      </c>
      <c r="C3" s="44"/>
      <c r="D3" s="44"/>
      <c r="E3" s="44"/>
    </row>
    <row r="4" spans="1:5">
      <c r="A4" s="4" t="s">
        <v>534</v>
      </c>
      <c r="B4" s="45" t="s">
        <v>306</v>
      </c>
      <c r="C4" s="45"/>
      <c r="D4" s="45"/>
      <c r="E4" s="45"/>
    </row>
    <row r="5" spans="1:5" ht="113.5" customHeight="1">
      <c r="A5" s="4" t="s">
        <v>18</v>
      </c>
      <c r="B5" s="45" t="s">
        <v>307</v>
      </c>
      <c r="C5" s="45"/>
      <c r="D5" s="45"/>
      <c r="E5" s="45"/>
    </row>
    <row r="6" spans="1:5" ht="128.5" customHeight="1">
      <c r="A6" s="4" t="s">
        <v>19</v>
      </c>
      <c r="B6" s="45" t="s">
        <v>308</v>
      </c>
      <c r="C6" s="45"/>
      <c r="D6" s="45"/>
      <c r="E6" s="45"/>
    </row>
    <row r="7" spans="1:5" ht="252.5" customHeight="1">
      <c r="A7" s="4" t="s">
        <v>20</v>
      </c>
      <c r="B7" s="45" t="s">
        <v>309</v>
      </c>
      <c r="C7" s="45"/>
      <c r="D7" s="45"/>
      <c r="E7" s="45"/>
    </row>
    <row r="8" spans="1:5" ht="337.5" customHeight="1">
      <c r="A8" s="4" t="s">
        <v>21</v>
      </c>
      <c r="B8" s="45" t="s">
        <v>391</v>
      </c>
      <c r="C8" s="45"/>
      <c r="D8" s="45"/>
      <c r="E8" s="45"/>
    </row>
    <row r="9" spans="1:5" ht="45">
      <c r="A9" s="4" t="s">
        <v>22</v>
      </c>
      <c r="B9" s="45" t="s">
        <v>174</v>
      </c>
      <c r="C9" s="45"/>
      <c r="D9" s="45"/>
      <c r="E9" s="45"/>
    </row>
    <row r="11" spans="1:5" ht="19">
      <c r="A11" s="2" t="s">
        <v>509</v>
      </c>
    </row>
    <row r="12" spans="1:5">
      <c r="A12" s="5" t="s">
        <v>500</v>
      </c>
      <c r="B12" s="5" t="s">
        <v>105</v>
      </c>
      <c r="C12" s="5" t="s">
        <v>9</v>
      </c>
      <c r="D12" s="5" t="s">
        <v>501</v>
      </c>
      <c r="E12" s="5" t="s">
        <v>502</v>
      </c>
    </row>
    <row r="13" spans="1:5" ht="45">
      <c r="A13" s="4" t="s">
        <v>503</v>
      </c>
      <c r="B13" s="4" t="s">
        <v>510</v>
      </c>
      <c r="C13" s="4" t="s">
        <v>511</v>
      </c>
      <c r="D13" s="4" t="s">
        <v>512</v>
      </c>
      <c r="E13" s="4" t="s">
        <v>513</v>
      </c>
    </row>
    <row r="14" spans="1:5" ht="90">
      <c r="A14" s="4" t="s">
        <v>504</v>
      </c>
      <c r="B14" s="4" t="s">
        <v>520</v>
      </c>
      <c r="C14" s="4" t="s">
        <v>521</v>
      </c>
      <c r="D14" s="4" t="s">
        <v>522</v>
      </c>
      <c r="E14" s="4" t="s">
        <v>523</v>
      </c>
    </row>
    <row r="15" spans="1:5" ht="90">
      <c r="A15" s="4" t="s">
        <v>505</v>
      </c>
      <c r="B15" s="4" t="s">
        <v>524</v>
      </c>
      <c r="C15" s="4" t="s">
        <v>514</v>
      </c>
      <c r="D15" s="4" t="s">
        <v>515</v>
      </c>
      <c r="E15" s="4" t="s">
        <v>516</v>
      </c>
    </row>
    <row r="16" spans="1:5" ht="90">
      <c r="A16" s="4" t="s">
        <v>506</v>
      </c>
      <c r="B16" s="4" t="s">
        <v>525</v>
      </c>
      <c r="C16" s="4" t="s">
        <v>526</v>
      </c>
      <c r="D16" s="4" t="s">
        <v>527</v>
      </c>
      <c r="E16" s="4" t="s">
        <v>528</v>
      </c>
    </row>
    <row r="17" spans="1:5" ht="75">
      <c r="A17" s="4" t="s">
        <v>507</v>
      </c>
      <c r="B17" s="4" t="s">
        <v>529</v>
      </c>
      <c r="C17" s="4" t="s">
        <v>517</v>
      </c>
      <c r="D17" s="4" t="s">
        <v>518</v>
      </c>
      <c r="E17" s="4" t="s">
        <v>519</v>
      </c>
    </row>
    <row r="18" spans="1:5" ht="90">
      <c r="A18" s="4" t="s">
        <v>508</v>
      </c>
      <c r="B18" s="4" t="s">
        <v>530</v>
      </c>
      <c r="C18" s="4" t="s">
        <v>531</v>
      </c>
      <c r="D18" s="4" t="s">
        <v>532</v>
      </c>
      <c r="E18" s="4" t="s">
        <v>533</v>
      </c>
    </row>
    <row r="19" spans="1:5" ht="18">
      <c r="A19" s="39"/>
    </row>
    <row r="20" spans="1:5" ht="18">
      <c r="A20"/>
    </row>
  </sheetData>
  <mergeCells count="7">
    <mergeCell ref="B3:E3"/>
    <mergeCell ref="B9:E9"/>
    <mergeCell ref="B8:E8"/>
    <mergeCell ref="B7:E7"/>
    <mergeCell ref="B6:E6"/>
    <mergeCell ref="B5:E5"/>
    <mergeCell ref="B4:E4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534F-B8C7-4C77-B98C-978B0095D021}">
  <dimension ref="A1:E32"/>
  <sheetViews>
    <sheetView workbookViewId="0">
      <selection activeCell="E10" sqref="E10"/>
    </sheetView>
  </sheetViews>
  <sheetFormatPr defaultRowHeight="15"/>
  <cols>
    <col min="1" max="1" width="18.6640625" style="3" customWidth="1"/>
    <col min="2" max="2" width="13.83203125" style="3" customWidth="1"/>
    <col min="3" max="3" width="30.33203125" style="3" customWidth="1"/>
    <col min="4" max="4" width="50.75" style="3" customWidth="1"/>
    <col min="5" max="5" width="37.5" style="3" customWidth="1"/>
    <col min="6" max="9" width="27.25" style="3" customWidth="1"/>
    <col min="10" max="16384" width="8.6640625" style="3"/>
  </cols>
  <sheetData>
    <row r="1" spans="1:5" ht="19">
      <c r="A1" s="2" t="s">
        <v>55</v>
      </c>
    </row>
    <row r="3" spans="1:5">
      <c r="A3" s="5" t="s">
        <v>499</v>
      </c>
      <c r="B3" s="5" t="s">
        <v>48</v>
      </c>
      <c r="C3" s="5" t="s">
        <v>49</v>
      </c>
      <c r="D3" s="5" t="s">
        <v>23</v>
      </c>
      <c r="E3" s="5" t="s">
        <v>50</v>
      </c>
    </row>
    <row r="4" spans="1:5" ht="30">
      <c r="A4" s="4" t="s">
        <v>295</v>
      </c>
      <c r="B4" s="4" t="s">
        <v>51</v>
      </c>
      <c r="C4" s="4" t="s">
        <v>392</v>
      </c>
      <c r="D4" s="4" t="s">
        <v>393</v>
      </c>
      <c r="E4" s="4" t="s">
        <v>394</v>
      </c>
    </row>
    <row r="5" spans="1:5" ht="30">
      <c r="A5" s="4" t="s">
        <v>295</v>
      </c>
      <c r="B5" s="4" t="s">
        <v>53</v>
      </c>
      <c r="C5" s="4" t="s">
        <v>395</v>
      </c>
      <c r="D5" s="4" t="s">
        <v>396</v>
      </c>
      <c r="E5" s="4" t="s">
        <v>397</v>
      </c>
    </row>
    <row r="6" spans="1:5" ht="30">
      <c r="A6" s="4" t="s">
        <v>295</v>
      </c>
      <c r="B6" s="4" t="s">
        <v>54</v>
      </c>
      <c r="C6" s="4" t="s">
        <v>398</v>
      </c>
      <c r="D6" s="4" t="s">
        <v>399</v>
      </c>
      <c r="E6" s="4" t="s">
        <v>400</v>
      </c>
    </row>
    <row r="7" spans="1:5" ht="30">
      <c r="A7" s="4" t="s">
        <v>295</v>
      </c>
      <c r="B7" s="4" t="s">
        <v>178</v>
      </c>
      <c r="C7" s="4" t="s">
        <v>401</v>
      </c>
      <c r="D7" s="4" t="s">
        <v>402</v>
      </c>
      <c r="E7" s="4" t="s">
        <v>403</v>
      </c>
    </row>
    <row r="8" spans="1:5" ht="30">
      <c r="A8" s="4" t="s">
        <v>295</v>
      </c>
      <c r="B8" s="4" t="s">
        <v>179</v>
      </c>
      <c r="C8" s="4" t="s">
        <v>404</v>
      </c>
      <c r="D8" s="4" t="s">
        <v>405</v>
      </c>
      <c r="E8" s="4" t="s">
        <v>406</v>
      </c>
    </row>
    <row r="9" spans="1:5" ht="30">
      <c r="A9" s="4" t="s">
        <v>295</v>
      </c>
      <c r="B9" s="4" t="s">
        <v>180</v>
      </c>
      <c r="C9" s="4" t="s">
        <v>407</v>
      </c>
      <c r="D9" s="4" t="s">
        <v>408</v>
      </c>
      <c r="E9" s="4" t="s">
        <v>409</v>
      </c>
    </row>
    <row r="10" spans="1:5" ht="30">
      <c r="A10" s="4" t="s">
        <v>295</v>
      </c>
      <c r="B10" s="4" t="s">
        <v>198</v>
      </c>
      <c r="C10" s="4" t="s">
        <v>410</v>
      </c>
      <c r="D10" s="4" t="s">
        <v>411</v>
      </c>
      <c r="E10" s="4" t="s">
        <v>412</v>
      </c>
    </row>
    <row r="11" spans="1:5" ht="30">
      <c r="A11" s="4" t="s">
        <v>295</v>
      </c>
      <c r="B11" s="4" t="s">
        <v>199</v>
      </c>
      <c r="C11" s="4" t="s">
        <v>413</v>
      </c>
      <c r="D11" s="4" t="s">
        <v>414</v>
      </c>
      <c r="E11" s="4" t="s">
        <v>415</v>
      </c>
    </row>
    <row r="12" spans="1:5" ht="30">
      <c r="A12" s="4" t="s">
        <v>296</v>
      </c>
      <c r="B12" s="4" t="s">
        <v>416</v>
      </c>
      <c r="C12" s="4" t="s">
        <v>417</v>
      </c>
      <c r="D12" s="4" t="s">
        <v>418</v>
      </c>
      <c r="E12" s="4" t="s">
        <v>419</v>
      </c>
    </row>
    <row r="13" spans="1:5" ht="30">
      <c r="A13" s="4" t="s">
        <v>296</v>
      </c>
      <c r="B13" s="4" t="s">
        <v>420</v>
      </c>
      <c r="C13" s="4" t="s">
        <v>421</v>
      </c>
      <c r="D13" s="4" t="s">
        <v>422</v>
      </c>
      <c r="E13" s="4" t="s">
        <v>423</v>
      </c>
    </row>
    <row r="14" spans="1:5" ht="30">
      <c r="A14" s="4" t="s">
        <v>296</v>
      </c>
      <c r="B14" s="4" t="s">
        <v>424</v>
      </c>
      <c r="C14" s="4" t="s">
        <v>425</v>
      </c>
      <c r="D14" s="4" t="s">
        <v>426</v>
      </c>
      <c r="E14" s="4" t="s">
        <v>427</v>
      </c>
    </row>
    <row r="15" spans="1:5" ht="30">
      <c r="A15" s="4" t="s">
        <v>296</v>
      </c>
      <c r="B15" s="4" t="s">
        <v>428</v>
      </c>
      <c r="C15" s="4" t="s">
        <v>429</v>
      </c>
      <c r="D15" s="4" t="s">
        <v>430</v>
      </c>
      <c r="E15" s="4" t="s">
        <v>431</v>
      </c>
    </row>
    <row r="16" spans="1:5" ht="30">
      <c r="A16" s="4" t="s">
        <v>296</v>
      </c>
      <c r="B16" s="4" t="s">
        <v>432</v>
      </c>
      <c r="C16" s="4" t="s">
        <v>433</v>
      </c>
      <c r="D16" s="4" t="s">
        <v>434</v>
      </c>
      <c r="E16" s="4" t="s">
        <v>435</v>
      </c>
    </row>
    <row r="17" spans="1:5" ht="30">
      <c r="A17" s="4" t="s">
        <v>296</v>
      </c>
      <c r="B17" s="4" t="s">
        <v>436</v>
      </c>
      <c r="C17" s="4" t="s">
        <v>437</v>
      </c>
      <c r="D17" s="4" t="s">
        <v>438</v>
      </c>
      <c r="E17" s="4" t="s">
        <v>439</v>
      </c>
    </row>
    <row r="18" spans="1:5" ht="30">
      <c r="A18" s="4" t="s">
        <v>296</v>
      </c>
      <c r="B18" s="4" t="s">
        <v>440</v>
      </c>
      <c r="C18" s="4" t="s">
        <v>441</v>
      </c>
      <c r="D18" s="4" t="s">
        <v>442</v>
      </c>
      <c r="E18" s="4" t="s">
        <v>443</v>
      </c>
    </row>
    <row r="19" spans="1:5" ht="30">
      <c r="A19" s="4" t="s">
        <v>296</v>
      </c>
      <c r="B19" s="4" t="s">
        <v>444</v>
      </c>
      <c r="C19" s="4" t="s">
        <v>445</v>
      </c>
      <c r="D19" s="4" t="s">
        <v>446</v>
      </c>
      <c r="E19" s="4" t="s">
        <v>447</v>
      </c>
    </row>
    <row r="20" spans="1:5" ht="30">
      <c r="A20" s="4" t="s">
        <v>297</v>
      </c>
      <c r="B20" s="4" t="s">
        <v>448</v>
      </c>
      <c r="C20" s="4" t="s">
        <v>449</v>
      </c>
      <c r="D20" s="4" t="s">
        <v>450</v>
      </c>
      <c r="E20" s="4" t="s">
        <v>451</v>
      </c>
    </row>
    <row r="21" spans="1:5" ht="30">
      <c r="A21" s="4" t="s">
        <v>297</v>
      </c>
      <c r="B21" s="4" t="s">
        <v>452</v>
      </c>
      <c r="C21" s="4" t="s">
        <v>453</v>
      </c>
      <c r="D21" s="4" t="s">
        <v>454</v>
      </c>
      <c r="E21" s="4" t="s">
        <v>455</v>
      </c>
    </row>
    <row r="22" spans="1:5" ht="30">
      <c r="A22" s="4" t="s">
        <v>297</v>
      </c>
      <c r="B22" s="4" t="s">
        <v>456</v>
      </c>
      <c r="C22" s="4" t="s">
        <v>457</v>
      </c>
      <c r="D22" s="4" t="s">
        <v>458</v>
      </c>
      <c r="E22" s="4" t="s">
        <v>459</v>
      </c>
    </row>
    <row r="23" spans="1:5">
      <c r="A23" s="4" t="s">
        <v>297</v>
      </c>
      <c r="B23" s="4" t="s">
        <v>460</v>
      </c>
      <c r="C23" s="4" t="s">
        <v>461</v>
      </c>
      <c r="D23" s="4" t="s">
        <v>462</v>
      </c>
      <c r="E23" s="4" t="s">
        <v>463</v>
      </c>
    </row>
    <row r="24" spans="1:5" ht="30">
      <c r="A24" s="4" t="s">
        <v>297</v>
      </c>
      <c r="B24" s="4" t="s">
        <v>464</v>
      </c>
      <c r="C24" s="4" t="s">
        <v>465</v>
      </c>
      <c r="D24" s="4" t="s">
        <v>466</v>
      </c>
      <c r="E24" s="4" t="s">
        <v>467</v>
      </c>
    </row>
    <row r="25" spans="1:5" ht="30">
      <c r="A25" s="4" t="s">
        <v>297</v>
      </c>
      <c r="B25" s="4" t="s">
        <v>468</v>
      </c>
      <c r="C25" s="4" t="s">
        <v>469</v>
      </c>
      <c r="D25" s="4" t="s">
        <v>470</v>
      </c>
      <c r="E25" s="4" t="s">
        <v>471</v>
      </c>
    </row>
    <row r="26" spans="1:5">
      <c r="A26" s="4" t="s">
        <v>297</v>
      </c>
      <c r="B26" s="4" t="s">
        <v>472</v>
      </c>
      <c r="C26" s="4" t="s">
        <v>473</v>
      </c>
      <c r="D26" s="4" t="s">
        <v>474</v>
      </c>
      <c r="E26" s="4" t="s">
        <v>475</v>
      </c>
    </row>
    <row r="27" spans="1:5" ht="30">
      <c r="A27" s="4" t="s">
        <v>294</v>
      </c>
      <c r="B27" s="4" t="s">
        <v>476</v>
      </c>
      <c r="C27" s="4" t="s">
        <v>477</v>
      </c>
      <c r="D27" s="4" t="s">
        <v>478</v>
      </c>
      <c r="E27" s="4" t="s">
        <v>479</v>
      </c>
    </row>
    <row r="28" spans="1:5" ht="30">
      <c r="A28" s="4" t="s">
        <v>298</v>
      </c>
      <c r="B28" s="4" t="s">
        <v>480</v>
      </c>
      <c r="C28" s="4" t="s">
        <v>481</v>
      </c>
      <c r="D28" s="4" t="s">
        <v>482</v>
      </c>
      <c r="E28" s="4" t="s">
        <v>483</v>
      </c>
    </row>
    <row r="29" spans="1:5">
      <c r="A29" s="4" t="s">
        <v>298</v>
      </c>
      <c r="B29" s="4" t="s">
        <v>484</v>
      </c>
      <c r="C29" s="4" t="s">
        <v>485</v>
      </c>
      <c r="D29" s="4" t="s">
        <v>486</v>
      </c>
      <c r="E29" s="4" t="s">
        <v>487</v>
      </c>
    </row>
    <row r="30" spans="1:5">
      <c r="A30" s="4" t="s">
        <v>295</v>
      </c>
      <c r="B30" s="4" t="s">
        <v>488</v>
      </c>
      <c r="C30" s="4" t="s">
        <v>489</v>
      </c>
      <c r="D30" s="4" t="s">
        <v>490</v>
      </c>
      <c r="E30" s="4" t="s">
        <v>491</v>
      </c>
    </row>
    <row r="31" spans="1:5" ht="30">
      <c r="A31" s="4" t="s">
        <v>295</v>
      </c>
      <c r="B31" s="4" t="s">
        <v>492</v>
      </c>
      <c r="C31" s="4" t="s">
        <v>493</v>
      </c>
      <c r="D31" s="4" t="s">
        <v>494</v>
      </c>
      <c r="E31" s="4" t="s">
        <v>495</v>
      </c>
    </row>
    <row r="32" spans="1:5" ht="30">
      <c r="A32" s="4" t="s">
        <v>295</v>
      </c>
      <c r="B32" s="4" t="s">
        <v>496</v>
      </c>
      <c r="C32" s="4" t="s">
        <v>497</v>
      </c>
      <c r="D32" s="4" t="s">
        <v>535</v>
      </c>
      <c r="E32" s="4" t="s">
        <v>498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D12A-34F3-4713-8D67-C6E8344D2412}">
  <dimension ref="A1:G32"/>
  <sheetViews>
    <sheetView zoomScale="115" zoomScaleNormal="115" workbookViewId="0">
      <pane ySplit="3" topLeftCell="A4" activePane="bottomLeft" state="frozen"/>
      <selection pane="bottomLeft" activeCell="E17" sqref="E17"/>
    </sheetView>
  </sheetViews>
  <sheetFormatPr defaultRowHeight="15"/>
  <cols>
    <col min="1" max="2" width="9.5" style="3" customWidth="1"/>
    <col min="3" max="3" width="20.9140625" style="3" customWidth="1"/>
    <col min="4" max="5" width="27.25" style="3" customWidth="1"/>
    <col min="6" max="7" width="43.08203125" style="3" customWidth="1"/>
    <col min="8" max="9" width="27.25" style="3" customWidth="1"/>
    <col min="10" max="16384" width="8.6640625" style="3"/>
  </cols>
  <sheetData>
    <row r="1" spans="1:7" ht="19">
      <c r="A1" s="2" t="s">
        <v>57</v>
      </c>
      <c r="B1" s="2"/>
    </row>
    <row r="3" spans="1:7">
      <c r="A3" s="5" t="s">
        <v>499</v>
      </c>
      <c r="B3" s="5" t="s">
        <v>48</v>
      </c>
      <c r="C3" s="5" t="s">
        <v>49</v>
      </c>
      <c r="D3" s="5" t="s">
        <v>536</v>
      </c>
      <c r="E3" s="5" t="s">
        <v>537</v>
      </c>
      <c r="F3" s="5" t="s">
        <v>538</v>
      </c>
      <c r="G3" s="5" t="s">
        <v>548</v>
      </c>
    </row>
    <row r="4" spans="1:7" ht="45">
      <c r="A4" s="4" t="s">
        <v>295</v>
      </c>
      <c r="B4" s="4" t="s">
        <v>51</v>
      </c>
      <c r="C4" s="4" t="s">
        <v>392</v>
      </c>
      <c r="D4" s="4" t="s">
        <v>549</v>
      </c>
      <c r="E4" s="4" t="s">
        <v>550</v>
      </c>
      <c r="F4" s="4" t="s">
        <v>551</v>
      </c>
      <c r="G4" s="4" t="s">
        <v>552</v>
      </c>
    </row>
    <row r="5" spans="1:7" ht="30">
      <c r="A5" s="4" t="s">
        <v>295</v>
      </c>
      <c r="B5" s="4" t="s">
        <v>53</v>
      </c>
      <c r="C5" s="4" t="s">
        <v>395</v>
      </c>
      <c r="D5" s="4" t="s">
        <v>553</v>
      </c>
      <c r="E5" s="4" t="s">
        <v>554</v>
      </c>
      <c r="F5" s="4" t="s">
        <v>555</v>
      </c>
      <c r="G5" s="4" t="s">
        <v>556</v>
      </c>
    </row>
    <row r="6" spans="1:7" ht="30">
      <c r="A6" s="4" t="s">
        <v>295</v>
      </c>
      <c r="B6" s="4" t="s">
        <v>54</v>
      </c>
      <c r="C6" s="4" t="s">
        <v>398</v>
      </c>
      <c r="D6" s="4" t="s">
        <v>557</v>
      </c>
      <c r="E6" s="4" t="s">
        <v>558</v>
      </c>
      <c r="F6" s="4" t="s">
        <v>559</v>
      </c>
      <c r="G6" s="4" t="s">
        <v>560</v>
      </c>
    </row>
    <row r="7" spans="1:7" ht="45">
      <c r="A7" s="4" t="s">
        <v>295</v>
      </c>
      <c r="B7" s="4" t="s">
        <v>178</v>
      </c>
      <c r="C7" s="4" t="s">
        <v>401</v>
      </c>
      <c r="D7" s="4" t="s">
        <v>561</v>
      </c>
      <c r="E7" s="4" t="s">
        <v>562</v>
      </c>
      <c r="F7" s="4" t="s">
        <v>563</v>
      </c>
      <c r="G7" s="4" t="s">
        <v>564</v>
      </c>
    </row>
    <row r="8" spans="1:7" ht="30">
      <c r="A8" s="4" t="s">
        <v>295</v>
      </c>
      <c r="B8" s="4" t="s">
        <v>179</v>
      </c>
      <c r="C8" s="4" t="s">
        <v>404</v>
      </c>
      <c r="D8" s="4" t="s">
        <v>565</v>
      </c>
      <c r="E8" s="4" t="s">
        <v>566</v>
      </c>
      <c r="F8" s="4" t="s">
        <v>567</v>
      </c>
      <c r="G8" s="4" t="s">
        <v>568</v>
      </c>
    </row>
    <row r="9" spans="1:7" ht="30">
      <c r="A9" s="4" t="s">
        <v>295</v>
      </c>
      <c r="B9" s="4" t="s">
        <v>180</v>
      </c>
      <c r="C9" s="4" t="s">
        <v>407</v>
      </c>
      <c r="D9" s="4" t="s">
        <v>569</v>
      </c>
      <c r="E9" s="4" t="s">
        <v>570</v>
      </c>
      <c r="F9" s="4" t="s">
        <v>571</v>
      </c>
      <c r="G9" s="4" t="s">
        <v>572</v>
      </c>
    </row>
    <row r="10" spans="1:7" ht="30">
      <c r="A10" s="4" t="s">
        <v>295</v>
      </c>
      <c r="B10" s="4" t="s">
        <v>198</v>
      </c>
      <c r="C10" s="4" t="s">
        <v>410</v>
      </c>
      <c r="D10" s="4" t="s">
        <v>573</v>
      </c>
      <c r="E10" s="4" t="s">
        <v>574</v>
      </c>
      <c r="F10" s="4" t="s">
        <v>575</v>
      </c>
      <c r="G10" s="4" t="s">
        <v>576</v>
      </c>
    </row>
    <row r="11" spans="1:7" ht="30">
      <c r="A11" s="4" t="s">
        <v>295</v>
      </c>
      <c r="B11" s="4" t="s">
        <v>199</v>
      </c>
      <c r="C11" s="4" t="s">
        <v>413</v>
      </c>
      <c r="D11" s="4" t="s">
        <v>577</v>
      </c>
      <c r="E11" s="4" t="s">
        <v>578</v>
      </c>
      <c r="F11" s="4" t="s">
        <v>579</v>
      </c>
      <c r="G11" s="4" t="s">
        <v>580</v>
      </c>
    </row>
    <row r="12" spans="1:7" ht="30">
      <c r="A12" s="4" t="s">
        <v>296</v>
      </c>
      <c r="B12" s="4" t="s">
        <v>416</v>
      </c>
      <c r="C12" s="4" t="s">
        <v>417</v>
      </c>
      <c r="D12" s="4" t="s">
        <v>581</v>
      </c>
      <c r="E12" s="4" t="s">
        <v>299</v>
      </c>
      <c r="F12" s="4" t="s">
        <v>582</v>
      </c>
      <c r="G12" s="4" t="s">
        <v>583</v>
      </c>
    </row>
    <row r="13" spans="1:7" ht="45">
      <c r="A13" s="4" t="s">
        <v>296</v>
      </c>
      <c r="B13" s="4" t="s">
        <v>420</v>
      </c>
      <c r="C13" s="4" t="s">
        <v>421</v>
      </c>
      <c r="D13" s="4" t="s">
        <v>584</v>
      </c>
      <c r="E13" s="4" t="s">
        <v>300</v>
      </c>
      <c r="F13" s="4" t="s">
        <v>585</v>
      </c>
      <c r="G13" s="4" t="s">
        <v>586</v>
      </c>
    </row>
    <row r="14" spans="1:7" ht="30">
      <c r="A14" s="4" t="s">
        <v>296</v>
      </c>
      <c r="B14" s="4" t="s">
        <v>424</v>
      </c>
      <c r="C14" s="4" t="s">
        <v>425</v>
      </c>
      <c r="D14" s="4" t="s">
        <v>587</v>
      </c>
      <c r="E14" s="4" t="s">
        <v>301</v>
      </c>
      <c r="F14" s="4" t="s">
        <v>588</v>
      </c>
      <c r="G14" s="4" t="s">
        <v>589</v>
      </c>
    </row>
    <row r="15" spans="1:7" ht="30">
      <c r="A15" s="4" t="s">
        <v>296</v>
      </c>
      <c r="B15" s="4" t="s">
        <v>428</v>
      </c>
      <c r="C15" s="4" t="s">
        <v>429</v>
      </c>
      <c r="D15" s="4" t="s">
        <v>590</v>
      </c>
      <c r="E15" s="4" t="s">
        <v>591</v>
      </c>
      <c r="F15" s="4" t="s">
        <v>592</v>
      </c>
      <c r="G15" s="4" t="s">
        <v>593</v>
      </c>
    </row>
    <row r="16" spans="1:7" ht="30">
      <c r="A16" s="4" t="s">
        <v>296</v>
      </c>
      <c r="B16" s="4" t="s">
        <v>432</v>
      </c>
      <c r="C16" s="4" t="s">
        <v>433</v>
      </c>
      <c r="D16" s="4" t="s">
        <v>594</v>
      </c>
      <c r="E16" s="4" t="s">
        <v>302</v>
      </c>
      <c r="F16" s="4" t="s">
        <v>595</v>
      </c>
      <c r="G16" s="4" t="s">
        <v>596</v>
      </c>
    </row>
    <row r="17" spans="1:7" ht="30">
      <c r="A17" s="4" t="s">
        <v>296</v>
      </c>
      <c r="B17" s="4" t="s">
        <v>436</v>
      </c>
      <c r="C17" s="4" t="s">
        <v>437</v>
      </c>
      <c r="D17" s="4" t="s">
        <v>597</v>
      </c>
      <c r="E17" s="4" t="s">
        <v>598</v>
      </c>
      <c r="F17" s="4" t="s">
        <v>599</v>
      </c>
      <c r="G17" s="4" t="s">
        <v>600</v>
      </c>
    </row>
    <row r="18" spans="1:7" ht="30">
      <c r="A18" s="4" t="s">
        <v>296</v>
      </c>
      <c r="B18" s="4" t="s">
        <v>440</v>
      </c>
      <c r="C18" s="4" t="s">
        <v>441</v>
      </c>
      <c r="D18" s="4" t="s">
        <v>601</v>
      </c>
      <c r="E18" s="4" t="s">
        <v>602</v>
      </c>
      <c r="F18" s="4" t="s">
        <v>603</v>
      </c>
      <c r="G18" s="4" t="s">
        <v>604</v>
      </c>
    </row>
    <row r="19" spans="1:7" ht="30">
      <c r="A19" s="4" t="s">
        <v>296</v>
      </c>
      <c r="B19" s="4" t="s">
        <v>444</v>
      </c>
      <c r="C19" s="4" t="s">
        <v>445</v>
      </c>
      <c r="D19" s="4" t="s">
        <v>605</v>
      </c>
      <c r="E19" s="4" t="s">
        <v>303</v>
      </c>
      <c r="F19" s="4" t="s">
        <v>606</v>
      </c>
      <c r="G19" s="4" t="s">
        <v>607</v>
      </c>
    </row>
    <row r="20" spans="1:7" ht="30">
      <c r="A20" s="4" t="s">
        <v>297</v>
      </c>
      <c r="B20" s="4" t="s">
        <v>448</v>
      </c>
      <c r="C20" s="4" t="s">
        <v>449</v>
      </c>
      <c r="D20" s="4" t="s">
        <v>608</v>
      </c>
      <c r="E20" s="4" t="s">
        <v>539</v>
      </c>
      <c r="F20" s="4" t="s">
        <v>609</v>
      </c>
      <c r="G20" s="4" t="s">
        <v>610</v>
      </c>
    </row>
    <row r="21" spans="1:7" ht="45">
      <c r="A21" s="4" t="s">
        <v>297</v>
      </c>
      <c r="B21" s="4" t="s">
        <v>452</v>
      </c>
      <c r="C21" s="4" t="s">
        <v>453</v>
      </c>
      <c r="D21" s="4" t="s">
        <v>611</v>
      </c>
      <c r="E21" s="4" t="s">
        <v>540</v>
      </c>
      <c r="F21" s="4" t="s">
        <v>612</v>
      </c>
      <c r="G21" s="4" t="s">
        <v>613</v>
      </c>
    </row>
    <row r="22" spans="1:7" ht="60">
      <c r="A22" s="4" t="s">
        <v>297</v>
      </c>
      <c r="B22" s="4" t="s">
        <v>456</v>
      </c>
      <c r="C22" s="4" t="s">
        <v>457</v>
      </c>
      <c r="D22" s="4" t="s">
        <v>614</v>
      </c>
      <c r="E22" s="4" t="s">
        <v>541</v>
      </c>
      <c r="F22" s="4" t="s">
        <v>615</v>
      </c>
      <c r="G22" s="4" t="s">
        <v>616</v>
      </c>
    </row>
    <row r="23" spans="1:7" ht="30">
      <c r="A23" s="4" t="s">
        <v>297</v>
      </c>
      <c r="B23" s="4" t="s">
        <v>460</v>
      </c>
      <c r="C23" s="4" t="s">
        <v>461</v>
      </c>
      <c r="D23" s="4" t="s">
        <v>617</v>
      </c>
      <c r="E23" s="4" t="s">
        <v>542</v>
      </c>
      <c r="F23" s="4" t="s">
        <v>618</v>
      </c>
      <c r="G23" s="4" t="s">
        <v>543</v>
      </c>
    </row>
    <row r="24" spans="1:7" ht="45">
      <c r="A24" s="4" t="s">
        <v>297</v>
      </c>
      <c r="B24" s="4" t="s">
        <v>464</v>
      </c>
      <c r="C24" s="4" t="s">
        <v>465</v>
      </c>
      <c r="D24" s="4" t="s">
        <v>619</v>
      </c>
      <c r="E24" s="4" t="s">
        <v>544</v>
      </c>
      <c r="F24" s="4" t="s">
        <v>620</v>
      </c>
      <c r="G24" s="4" t="s">
        <v>543</v>
      </c>
    </row>
    <row r="25" spans="1:7" ht="30">
      <c r="A25" s="4" t="s">
        <v>297</v>
      </c>
      <c r="B25" s="4" t="s">
        <v>468</v>
      </c>
      <c r="C25" s="4" t="s">
        <v>469</v>
      </c>
      <c r="D25" s="4" t="s">
        <v>621</v>
      </c>
      <c r="E25" s="4" t="s">
        <v>545</v>
      </c>
      <c r="F25" s="4" t="s">
        <v>622</v>
      </c>
      <c r="G25" s="4" t="s">
        <v>543</v>
      </c>
    </row>
    <row r="26" spans="1:7" ht="45">
      <c r="A26" s="4" t="s">
        <v>297</v>
      </c>
      <c r="B26" s="4" t="s">
        <v>472</v>
      </c>
      <c r="C26" s="4" t="s">
        <v>473</v>
      </c>
      <c r="D26" s="4" t="s">
        <v>623</v>
      </c>
      <c r="E26" s="4" t="s">
        <v>546</v>
      </c>
      <c r="F26" s="4" t="s">
        <v>624</v>
      </c>
      <c r="G26" s="4" t="s">
        <v>543</v>
      </c>
    </row>
    <row r="27" spans="1:7" ht="30">
      <c r="A27" s="4" t="s">
        <v>294</v>
      </c>
      <c r="B27" s="4" t="s">
        <v>476</v>
      </c>
      <c r="C27" s="4" t="s">
        <v>477</v>
      </c>
      <c r="D27" s="4" t="s">
        <v>625</v>
      </c>
      <c r="E27" s="4" t="s">
        <v>304</v>
      </c>
      <c r="F27" s="4" t="s">
        <v>626</v>
      </c>
      <c r="G27" s="4" t="s">
        <v>627</v>
      </c>
    </row>
    <row r="28" spans="1:7" ht="30">
      <c r="A28" s="4" t="s">
        <v>298</v>
      </c>
      <c r="B28" s="4" t="s">
        <v>480</v>
      </c>
      <c r="C28" s="4" t="s">
        <v>481</v>
      </c>
      <c r="D28" s="4" t="s">
        <v>628</v>
      </c>
      <c r="E28" s="4" t="s">
        <v>547</v>
      </c>
      <c r="F28" s="4" t="s">
        <v>629</v>
      </c>
      <c r="G28" s="4" t="s">
        <v>630</v>
      </c>
    </row>
    <row r="29" spans="1:7" ht="30">
      <c r="A29" s="4" t="s">
        <v>298</v>
      </c>
      <c r="B29" s="4" t="s">
        <v>484</v>
      </c>
      <c r="C29" s="4" t="s">
        <v>485</v>
      </c>
      <c r="D29" s="4" t="s">
        <v>631</v>
      </c>
      <c r="E29" s="4" t="s">
        <v>632</v>
      </c>
      <c r="F29" s="4" t="s">
        <v>633</v>
      </c>
      <c r="G29" s="4" t="s">
        <v>634</v>
      </c>
    </row>
    <row r="30" spans="1:7" ht="30">
      <c r="A30" s="4" t="s">
        <v>295</v>
      </c>
      <c r="B30" s="4" t="s">
        <v>488</v>
      </c>
      <c r="C30" s="4" t="s">
        <v>489</v>
      </c>
      <c r="D30" s="4" t="s">
        <v>635</v>
      </c>
      <c r="E30" s="4" t="s">
        <v>636</v>
      </c>
      <c r="F30" s="4" t="s">
        <v>637</v>
      </c>
      <c r="G30" s="4" t="s">
        <v>638</v>
      </c>
    </row>
    <row r="31" spans="1:7" ht="30">
      <c r="A31" s="4" t="s">
        <v>295</v>
      </c>
      <c r="B31" s="4" t="s">
        <v>492</v>
      </c>
      <c r="C31" s="4" t="s">
        <v>493</v>
      </c>
      <c r="D31" s="4" t="s">
        <v>639</v>
      </c>
      <c r="E31" s="4" t="s">
        <v>640</v>
      </c>
      <c r="F31" s="4" t="s">
        <v>641</v>
      </c>
      <c r="G31" s="4" t="s">
        <v>642</v>
      </c>
    </row>
    <row r="32" spans="1:7" ht="30">
      <c r="A32" s="4" t="s">
        <v>295</v>
      </c>
      <c r="B32" s="4" t="s">
        <v>496</v>
      </c>
      <c r="C32" s="4" t="s">
        <v>497</v>
      </c>
      <c r="D32" s="4" t="s">
        <v>643</v>
      </c>
      <c r="E32" s="4" t="s">
        <v>644</v>
      </c>
      <c r="F32" s="4" t="s">
        <v>645</v>
      </c>
      <c r="G32" s="4" t="s">
        <v>646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18FD-C892-4697-BE97-5700CCE51025}">
  <dimension ref="A1:H38"/>
  <sheetViews>
    <sheetView zoomScale="130" zoomScaleNormal="130" workbookViewId="0">
      <selection activeCell="C10" sqref="C10"/>
    </sheetView>
  </sheetViews>
  <sheetFormatPr defaultRowHeight="15"/>
  <cols>
    <col min="1" max="1" width="7.33203125" style="3" customWidth="1"/>
    <col min="2" max="2" width="19.4140625" style="3" customWidth="1"/>
    <col min="3" max="3" width="15.9140625" style="3" customWidth="1"/>
    <col min="4" max="4" width="26.33203125" style="3" customWidth="1"/>
    <col min="5" max="5" width="34.33203125" style="3" customWidth="1"/>
    <col min="6" max="6" width="24.33203125" style="3" customWidth="1"/>
    <col min="7" max="7" width="34.33203125" style="3" customWidth="1"/>
    <col min="8" max="8" width="31.33203125" style="3" customWidth="1"/>
    <col min="9" max="16384" width="8.6640625" style="3"/>
  </cols>
  <sheetData>
    <row r="1" spans="1:8" ht="19">
      <c r="A1" s="2" t="s">
        <v>44</v>
      </c>
    </row>
    <row r="3" spans="1:8" ht="30">
      <c r="A3" s="5" t="s">
        <v>253</v>
      </c>
      <c r="B3" s="5" t="s">
        <v>28</v>
      </c>
      <c r="C3" s="5" t="s">
        <v>189</v>
      </c>
      <c r="D3" s="5" t="s">
        <v>190</v>
      </c>
      <c r="E3" s="5" t="s">
        <v>254</v>
      </c>
      <c r="F3" s="5" t="s">
        <v>191</v>
      </c>
      <c r="G3" s="5" t="s">
        <v>255</v>
      </c>
      <c r="H3" s="5" t="s">
        <v>192</v>
      </c>
    </row>
    <row r="4" spans="1:8" ht="75">
      <c r="A4" s="14" t="s">
        <v>51</v>
      </c>
      <c r="B4" s="14" t="s">
        <v>647</v>
      </c>
      <c r="C4" s="14" t="s">
        <v>648</v>
      </c>
      <c r="D4" s="11" t="s">
        <v>649</v>
      </c>
      <c r="E4" s="11" t="s">
        <v>650</v>
      </c>
      <c r="F4" s="11" t="s">
        <v>651</v>
      </c>
      <c r="G4" s="11" t="s">
        <v>652</v>
      </c>
      <c r="H4" s="11" t="s">
        <v>653</v>
      </c>
    </row>
    <row r="5" spans="1:8" ht="75">
      <c r="A5" s="14" t="s">
        <v>53</v>
      </c>
      <c r="B5" s="14" t="s">
        <v>654</v>
      </c>
      <c r="C5" s="14" t="s">
        <v>655</v>
      </c>
      <c r="D5" s="11" t="s">
        <v>656</v>
      </c>
      <c r="E5" s="11" t="s">
        <v>657</v>
      </c>
      <c r="F5" s="11" t="s">
        <v>658</v>
      </c>
      <c r="G5" s="11" t="s">
        <v>659</v>
      </c>
      <c r="H5" s="11" t="s">
        <v>653</v>
      </c>
    </row>
    <row r="6" spans="1:8" ht="75">
      <c r="A6" s="14" t="s">
        <v>54</v>
      </c>
      <c r="B6" s="14" t="s">
        <v>660</v>
      </c>
      <c r="C6" s="14" t="s">
        <v>661</v>
      </c>
      <c r="D6" s="11" t="s">
        <v>662</v>
      </c>
      <c r="E6" s="11" t="s">
        <v>663</v>
      </c>
      <c r="F6" s="11" t="s">
        <v>664</v>
      </c>
      <c r="G6" s="11" t="s">
        <v>665</v>
      </c>
      <c r="H6" s="11" t="s">
        <v>653</v>
      </c>
    </row>
    <row r="7" spans="1:8" ht="60">
      <c r="A7" s="14" t="s">
        <v>178</v>
      </c>
      <c r="B7" s="14" t="s">
        <v>666</v>
      </c>
      <c r="C7" s="14" t="s">
        <v>667</v>
      </c>
      <c r="D7" s="11" t="s">
        <v>668</v>
      </c>
      <c r="E7" s="11" t="s">
        <v>669</v>
      </c>
      <c r="F7" s="11" t="s">
        <v>670</v>
      </c>
      <c r="G7" s="11" t="s">
        <v>671</v>
      </c>
      <c r="H7" s="11" t="s">
        <v>672</v>
      </c>
    </row>
    <row r="8" spans="1:8" ht="75">
      <c r="A8" s="14" t="s">
        <v>179</v>
      </c>
      <c r="B8" s="14" t="s">
        <v>673</v>
      </c>
      <c r="C8" s="14" t="s">
        <v>674</v>
      </c>
      <c r="D8" s="11" t="s">
        <v>675</v>
      </c>
      <c r="E8" s="11" t="s">
        <v>676</v>
      </c>
      <c r="F8" s="11" t="s">
        <v>677</v>
      </c>
      <c r="G8" s="11" t="s">
        <v>678</v>
      </c>
      <c r="H8" s="11" t="s">
        <v>679</v>
      </c>
    </row>
    <row r="9" spans="1:8" ht="60">
      <c r="A9" s="14" t="s">
        <v>180</v>
      </c>
      <c r="B9" s="14" t="s">
        <v>680</v>
      </c>
      <c r="C9" s="14" t="s">
        <v>681</v>
      </c>
      <c r="D9" s="11" t="s">
        <v>682</v>
      </c>
      <c r="E9" s="11" t="s">
        <v>683</v>
      </c>
      <c r="F9" s="11" t="s">
        <v>684</v>
      </c>
      <c r="G9" s="11" t="s">
        <v>685</v>
      </c>
      <c r="H9" s="11" t="s">
        <v>686</v>
      </c>
    </row>
    <row r="10" spans="1:8" ht="45">
      <c r="A10" s="14" t="s">
        <v>198</v>
      </c>
      <c r="B10" s="14" t="s">
        <v>687</v>
      </c>
      <c r="C10" s="14" t="s">
        <v>688</v>
      </c>
      <c r="D10" s="11" t="s">
        <v>689</v>
      </c>
      <c r="E10" s="11" t="s">
        <v>690</v>
      </c>
      <c r="F10" s="11" t="s">
        <v>691</v>
      </c>
      <c r="G10" s="11" t="s">
        <v>692</v>
      </c>
      <c r="H10" s="11" t="s">
        <v>693</v>
      </c>
    </row>
    <row r="11" spans="1:8" ht="44" customHeight="1">
      <c r="A11" s="14" t="s">
        <v>199</v>
      </c>
      <c r="B11" s="14" t="s">
        <v>694</v>
      </c>
      <c r="C11" s="14" t="s">
        <v>695</v>
      </c>
      <c r="D11" s="11" t="s">
        <v>696</v>
      </c>
      <c r="E11" s="11" t="s">
        <v>697</v>
      </c>
      <c r="F11" s="11" t="s">
        <v>698</v>
      </c>
      <c r="G11" s="11" t="s">
        <v>699</v>
      </c>
      <c r="H11" s="11" t="s">
        <v>700</v>
      </c>
    </row>
    <row r="12" spans="1:8" ht="45">
      <c r="A12" s="14" t="s">
        <v>416</v>
      </c>
      <c r="B12" s="14" t="s">
        <v>701</v>
      </c>
      <c r="C12" s="14" t="s">
        <v>702</v>
      </c>
      <c r="D12" s="11" t="s">
        <v>703</v>
      </c>
      <c r="E12" s="11" t="s">
        <v>704</v>
      </c>
      <c r="F12" s="11" t="s">
        <v>705</v>
      </c>
      <c r="G12" s="11" t="s">
        <v>706</v>
      </c>
      <c r="H12" s="11" t="s">
        <v>707</v>
      </c>
    </row>
    <row r="13" spans="1:8" ht="75">
      <c r="A13" s="14" t="s">
        <v>420</v>
      </c>
      <c r="B13" s="14" t="s">
        <v>708</v>
      </c>
      <c r="C13" s="14" t="s">
        <v>709</v>
      </c>
      <c r="D13" s="11" t="s">
        <v>710</v>
      </c>
      <c r="E13" s="11" t="s">
        <v>711</v>
      </c>
      <c r="F13" s="11" t="s">
        <v>712</v>
      </c>
      <c r="G13" s="11" t="s">
        <v>713</v>
      </c>
      <c r="H13" s="11" t="s">
        <v>714</v>
      </c>
    </row>
    <row r="14" spans="1:8" ht="45">
      <c r="A14" s="14" t="s">
        <v>424</v>
      </c>
      <c r="B14" s="14" t="s">
        <v>715</v>
      </c>
      <c r="C14" s="14" t="s">
        <v>716</v>
      </c>
      <c r="D14" s="11" t="s">
        <v>717</v>
      </c>
      <c r="E14" s="11" t="s">
        <v>718</v>
      </c>
      <c r="F14" s="11" t="s">
        <v>719</v>
      </c>
      <c r="G14" s="11" t="s">
        <v>720</v>
      </c>
      <c r="H14" s="11" t="s">
        <v>721</v>
      </c>
    </row>
    <row r="15" spans="1:8" ht="45">
      <c r="A15" s="14" t="s">
        <v>428</v>
      </c>
      <c r="B15" s="14" t="s">
        <v>722</v>
      </c>
      <c r="C15" s="14" t="s">
        <v>723</v>
      </c>
      <c r="D15" s="11" t="s">
        <v>724</v>
      </c>
      <c r="E15" s="11" t="s">
        <v>725</v>
      </c>
      <c r="F15" s="11" t="s">
        <v>726</v>
      </c>
      <c r="G15" s="11" t="s">
        <v>727</v>
      </c>
      <c r="H15" s="11" t="s">
        <v>728</v>
      </c>
    </row>
    <row r="16" spans="1:8" ht="45">
      <c r="A16" s="14" t="s">
        <v>432</v>
      </c>
      <c r="B16" s="14" t="s">
        <v>729</v>
      </c>
      <c r="C16" s="14" t="s">
        <v>730</v>
      </c>
      <c r="D16" s="11" t="s">
        <v>731</v>
      </c>
      <c r="E16" s="11" t="s">
        <v>732</v>
      </c>
      <c r="F16" s="11" t="s">
        <v>733</v>
      </c>
      <c r="G16" s="11" t="s">
        <v>734</v>
      </c>
      <c r="H16" s="11" t="s">
        <v>735</v>
      </c>
    </row>
    <row r="17" spans="1:8" ht="45">
      <c r="A17" s="14" t="s">
        <v>436</v>
      </c>
      <c r="B17" s="14" t="s">
        <v>736</v>
      </c>
      <c r="C17" s="14" t="s">
        <v>737</v>
      </c>
      <c r="D17" s="11" t="s">
        <v>738</v>
      </c>
      <c r="E17" s="11" t="s">
        <v>739</v>
      </c>
      <c r="F17" s="11" t="s">
        <v>740</v>
      </c>
      <c r="G17" s="11" t="s">
        <v>741</v>
      </c>
      <c r="H17" s="11" t="s">
        <v>728</v>
      </c>
    </row>
    <row r="18" spans="1:8" ht="45">
      <c r="A18" s="14" t="s">
        <v>440</v>
      </c>
      <c r="B18" s="14" t="s">
        <v>742</v>
      </c>
      <c r="C18" s="14" t="s">
        <v>743</v>
      </c>
      <c r="D18" s="11" t="s">
        <v>744</v>
      </c>
      <c r="E18" s="11" t="s">
        <v>745</v>
      </c>
      <c r="F18" s="11" t="s">
        <v>746</v>
      </c>
      <c r="G18" s="11" t="s">
        <v>747</v>
      </c>
      <c r="H18" s="11" t="s">
        <v>748</v>
      </c>
    </row>
    <row r="19" spans="1:8" ht="44" customHeight="1">
      <c r="A19" s="14" t="s">
        <v>444</v>
      </c>
      <c r="B19" s="14" t="s">
        <v>749</v>
      </c>
      <c r="C19" s="14" t="s">
        <v>750</v>
      </c>
      <c r="D19" s="11" t="s">
        <v>751</v>
      </c>
      <c r="E19" s="11" t="s">
        <v>752</v>
      </c>
      <c r="F19" s="11" t="s">
        <v>753</v>
      </c>
      <c r="G19" s="11" t="s">
        <v>754</v>
      </c>
      <c r="H19" s="11" t="s">
        <v>755</v>
      </c>
    </row>
    <row r="20" spans="1:8" ht="60">
      <c r="A20" s="14" t="s">
        <v>448</v>
      </c>
      <c r="B20" s="14" t="s">
        <v>756</v>
      </c>
      <c r="C20" s="14" t="s">
        <v>757</v>
      </c>
      <c r="D20" s="11" t="s">
        <v>758</v>
      </c>
      <c r="E20" s="11" t="s">
        <v>759</v>
      </c>
      <c r="F20" s="11" t="s">
        <v>760</v>
      </c>
      <c r="G20" s="11" t="s">
        <v>761</v>
      </c>
      <c r="H20" s="11" t="s">
        <v>762</v>
      </c>
    </row>
    <row r="21" spans="1:8" ht="45">
      <c r="A21" s="14" t="s">
        <v>452</v>
      </c>
      <c r="B21" s="14" t="s">
        <v>763</v>
      </c>
      <c r="C21" s="14" t="s">
        <v>764</v>
      </c>
      <c r="D21" s="11" t="s">
        <v>765</v>
      </c>
      <c r="E21" s="11" t="s">
        <v>766</v>
      </c>
      <c r="F21" s="11" t="s">
        <v>767</v>
      </c>
      <c r="G21" s="11" t="s">
        <v>768</v>
      </c>
      <c r="H21" s="11" t="s">
        <v>769</v>
      </c>
    </row>
    <row r="22" spans="1:8" ht="60">
      <c r="A22" s="14" t="s">
        <v>456</v>
      </c>
      <c r="B22" s="14" t="s">
        <v>770</v>
      </c>
      <c r="C22" s="14" t="s">
        <v>771</v>
      </c>
      <c r="D22" s="11" t="s">
        <v>765</v>
      </c>
      <c r="E22" s="11" t="s">
        <v>772</v>
      </c>
      <c r="F22" s="11" t="s">
        <v>767</v>
      </c>
      <c r="G22" s="11" t="s">
        <v>773</v>
      </c>
      <c r="H22" s="11" t="s">
        <v>774</v>
      </c>
    </row>
    <row r="23" spans="1:8" ht="45">
      <c r="A23" s="14" t="s">
        <v>460</v>
      </c>
      <c r="B23" s="14" t="s">
        <v>775</v>
      </c>
      <c r="C23" s="14" t="s">
        <v>776</v>
      </c>
      <c r="D23" s="11" t="s">
        <v>765</v>
      </c>
      <c r="E23" s="11" t="s">
        <v>777</v>
      </c>
      <c r="F23" s="11" t="s">
        <v>767</v>
      </c>
      <c r="G23" s="11" t="s">
        <v>778</v>
      </c>
      <c r="H23" s="11" t="s">
        <v>779</v>
      </c>
    </row>
    <row r="24" spans="1:8" ht="45">
      <c r="A24" s="14" t="s">
        <v>464</v>
      </c>
      <c r="B24" s="14" t="s">
        <v>780</v>
      </c>
      <c r="C24" s="14" t="s">
        <v>781</v>
      </c>
      <c r="D24" s="11" t="s">
        <v>765</v>
      </c>
      <c r="E24" s="11" t="s">
        <v>782</v>
      </c>
      <c r="F24" s="11" t="s">
        <v>767</v>
      </c>
      <c r="G24" s="11" t="s">
        <v>783</v>
      </c>
      <c r="H24" s="11" t="s">
        <v>784</v>
      </c>
    </row>
    <row r="25" spans="1:8" ht="45">
      <c r="A25" s="14" t="s">
        <v>468</v>
      </c>
      <c r="B25" s="14" t="s">
        <v>785</v>
      </c>
      <c r="C25" s="14" t="s">
        <v>786</v>
      </c>
      <c r="D25" s="11" t="s">
        <v>765</v>
      </c>
      <c r="E25" s="11" t="s">
        <v>787</v>
      </c>
      <c r="F25" s="11" t="s">
        <v>767</v>
      </c>
      <c r="G25" s="11" t="s">
        <v>788</v>
      </c>
      <c r="H25" s="11" t="s">
        <v>789</v>
      </c>
    </row>
    <row r="26" spans="1:8" ht="45">
      <c r="A26" s="14" t="s">
        <v>472</v>
      </c>
      <c r="B26" s="14" t="s">
        <v>790</v>
      </c>
      <c r="C26" s="14" t="s">
        <v>791</v>
      </c>
      <c r="D26" s="11" t="s">
        <v>765</v>
      </c>
      <c r="E26" s="11" t="s">
        <v>792</v>
      </c>
      <c r="F26" s="11" t="s">
        <v>767</v>
      </c>
      <c r="G26" s="11" t="s">
        <v>793</v>
      </c>
      <c r="H26" s="11" t="s">
        <v>794</v>
      </c>
    </row>
    <row r="27" spans="1:8" ht="44" customHeight="1">
      <c r="A27" s="14" t="s">
        <v>476</v>
      </c>
      <c r="B27" s="14" t="s">
        <v>795</v>
      </c>
      <c r="C27" s="14" t="s">
        <v>796</v>
      </c>
      <c r="D27" s="11" t="s">
        <v>797</v>
      </c>
      <c r="E27" s="11" t="s">
        <v>798</v>
      </c>
      <c r="F27" s="11" t="s">
        <v>799</v>
      </c>
      <c r="G27" s="11" t="s">
        <v>800</v>
      </c>
      <c r="H27" s="11" t="s">
        <v>801</v>
      </c>
    </row>
    <row r="28" spans="1:8" ht="45">
      <c r="A28" s="14" t="s">
        <v>480</v>
      </c>
      <c r="B28" s="14" t="s">
        <v>802</v>
      </c>
      <c r="C28" s="14" t="s">
        <v>803</v>
      </c>
      <c r="D28" s="11" t="s">
        <v>804</v>
      </c>
      <c r="E28" s="11" t="s">
        <v>805</v>
      </c>
      <c r="F28" s="11" t="s">
        <v>806</v>
      </c>
      <c r="G28" s="11" t="s">
        <v>807</v>
      </c>
      <c r="H28" s="11" t="s">
        <v>808</v>
      </c>
    </row>
    <row r="29" spans="1:8" ht="45">
      <c r="A29" s="14" t="s">
        <v>484</v>
      </c>
      <c r="B29" s="14" t="s">
        <v>809</v>
      </c>
      <c r="C29" s="14" t="s">
        <v>810</v>
      </c>
      <c r="D29" s="11" t="s">
        <v>811</v>
      </c>
      <c r="E29" s="11" t="s">
        <v>812</v>
      </c>
      <c r="F29" s="11" t="s">
        <v>813</v>
      </c>
      <c r="G29" s="11" t="s">
        <v>814</v>
      </c>
      <c r="H29" s="11" t="s">
        <v>815</v>
      </c>
    </row>
    <row r="30" spans="1:8" ht="90">
      <c r="A30" s="14" t="s">
        <v>488</v>
      </c>
      <c r="B30" s="14" t="s">
        <v>816</v>
      </c>
      <c r="C30" s="14" t="s">
        <v>817</v>
      </c>
      <c r="D30" s="11" t="s">
        <v>818</v>
      </c>
      <c r="E30" s="11" t="s">
        <v>819</v>
      </c>
      <c r="F30" s="11" t="s">
        <v>820</v>
      </c>
      <c r="G30" s="11" t="s">
        <v>821</v>
      </c>
      <c r="H30" s="11" t="s">
        <v>822</v>
      </c>
    </row>
    <row r="31" spans="1:8" ht="45">
      <c r="A31" s="14" t="s">
        <v>492</v>
      </c>
      <c r="B31" s="14" t="s">
        <v>823</v>
      </c>
      <c r="C31" s="14" t="s">
        <v>824</v>
      </c>
      <c r="D31" s="11" t="s">
        <v>825</v>
      </c>
      <c r="E31" s="11" t="s">
        <v>826</v>
      </c>
      <c r="F31" s="11" t="s">
        <v>827</v>
      </c>
      <c r="G31" s="11" t="s">
        <v>828</v>
      </c>
      <c r="H31" s="11" t="s">
        <v>829</v>
      </c>
    </row>
    <row r="32" spans="1:8" ht="60">
      <c r="A32" s="14" t="s">
        <v>496</v>
      </c>
      <c r="B32" s="14" t="s">
        <v>830</v>
      </c>
      <c r="C32" s="14" t="s">
        <v>831</v>
      </c>
      <c r="D32" s="11" t="s">
        <v>832</v>
      </c>
      <c r="E32" s="11" t="s">
        <v>833</v>
      </c>
      <c r="F32" s="11" t="s">
        <v>834</v>
      </c>
      <c r="G32" s="11" t="s">
        <v>835</v>
      </c>
      <c r="H32" s="11" t="s">
        <v>836</v>
      </c>
    </row>
    <row r="33" spans="1:8">
      <c r="A33" s="46"/>
      <c r="B33" s="46"/>
      <c r="C33" s="46"/>
      <c r="D33" s="47"/>
      <c r="E33" s="47"/>
      <c r="F33" s="47"/>
      <c r="G33" s="47"/>
      <c r="H33" s="47"/>
    </row>
    <row r="34" spans="1:8" ht="18">
      <c r="A34"/>
      <c r="B34"/>
      <c r="C34"/>
      <c r="D34"/>
      <c r="E34"/>
    </row>
    <row r="35" spans="1:8" ht="18">
      <c r="A35"/>
      <c r="B35"/>
      <c r="F35" s="3" t="s">
        <v>256</v>
      </c>
      <c r="H35" s="32"/>
    </row>
    <row r="36" spans="1:8">
      <c r="F36" s="3" t="s">
        <v>194</v>
      </c>
    </row>
    <row r="37" spans="1:8" ht="18">
      <c r="F37" s="7" t="s">
        <v>195</v>
      </c>
    </row>
    <row r="38" spans="1:8" ht="18">
      <c r="A38"/>
    </row>
  </sheetData>
  <phoneticPr fontId="2"/>
  <hyperlinks>
    <hyperlink ref="F37" r:id="rId1" xr:uid="{21617B07-4BC1-434C-86CD-59015F16C0EE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4002-DBA6-4C29-8F67-0F5EED34A8DE}">
  <sheetPr>
    <tabColor theme="0" tint="-0.499984740745262"/>
  </sheetPr>
  <dimension ref="A1"/>
  <sheetViews>
    <sheetView workbookViewId="0">
      <selection activeCell="C16" sqref="C16"/>
    </sheetView>
  </sheetViews>
  <sheetFormatPr defaultRowHeight="18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5284-91C1-4AD7-B866-D4E194B8F0B5}">
  <sheetPr>
    <tabColor theme="0" tint="-0.499984740745262"/>
  </sheetPr>
  <dimension ref="A1:F16"/>
  <sheetViews>
    <sheetView workbookViewId="0">
      <selection activeCell="M30" sqref="M30"/>
    </sheetView>
  </sheetViews>
  <sheetFormatPr defaultRowHeight="15"/>
  <cols>
    <col min="1" max="9" width="27.25" style="3" customWidth="1"/>
    <col min="10" max="16384" width="8.6640625" style="3"/>
  </cols>
  <sheetData>
    <row r="1" spans="1:6" ht="19">
      <c r="A1" s="2" t="s">
        <v>59</v>
      </c>
      <c r="B1" s="2"/>
    </row>
    <row r="3" spans="1:6">
      <c r="A3" s="5" t="s">
        <v>200</v>
      </c>
      <c r="B3" s="5" t="s">
        <v>201</v>
      </c>
      <c r="C3" s="5" t="s">
        <v>24</v>
      </c>
      <c r="D3" s="5" t="s">
        <v>25</v>
      </c>
      <c r="E3" s="5" t="s">
        <v>26</v>
      </c>
      <c r="F3" s="5" t="s">
        <v>27</v>
      </c>
    </row>
    <row r="4" spans="1:6">
      <c r="A4" s="6" t="s">
        <v>90</v>
      </c>
      <c r="B4" s="6" t="s">
        <v>227</v>
      </c>
      <c r="C4" s="6" t="s">
        <v>204</v>
      </c>
      <c r="D4" s="6" t="s">
        <v>205</v>
      </c>
      <c r="E4" s="6" t="s">
        <v>206</v>
      </c>
      <c r="F4" s="6" t="s">
        <v>228</v>
      </c>
    </row>
    <row r="5" spans="1:6">
      <c r="A5" s="6" t="s">
        <v>229</v>
      </c>
      <c r="B5" s="6" t="s">
        <v>230</v>
      </c>
      <c r="C5" s="6" t="s">
        <v>231</v>
      </c>
      <c r="D5" s="6" t="s">
        <v>232</v>
      </c>
      <c r="E5" s="6">
        <v>0</v>
      </c>
      <c r="F5" s="6" t="s">
        <v>233</v>
      </c>
    </row>
    <row r="6" spans="1:6">
      <c r="A6" s="6" t="s">
        <v>234</v>
      </c>
      <c r="B6" s="6" t="s">
        <v>235</v>
      </c>
      <c r="C6" s="6" t="s">
        <v>220</v>
      </c>
      <c r="D6" s="6" t="s">
        <v>221</v>
      </c>
      <c r="E6" s="6" t="s">
        <v>236</v>
      </c>
      <c r="F6" s="6" t="s">
        <v>237</v>
      </c>
    </row>
    <row r="7" spans="1:6">
      <c r="A7" s="6" t="s">
        <v>238</v>
      </c>
      <c r="B7" s="6" t="s">
        <v>239</v>
      </c>
      <c r="C7" s="6" t="s">
        <v>231</v>
      </c>
      <c r="D7" s="6" t="s">
        <v>232</v>
      </c>
      <c r="E7" s="6">
        <v>0</v>
      </c>
      <c r="F7" s="6" t="s">
        <v>240</v>
      </c>
    </row>
    <row r="8" spans="1:6">
      <c r="A8" s="6" t="s">
        <v>241</v>
      </c>
      <c r="B8" s="6" t="s">
        <v>242</v>
      </c>
      <c r="C8" s="6" t="s">
        <v>231</v>
      </c>
      <c r="D8" s="6" t="s">
        <v>232</v>
      </c>
      <c r="E8" s="6">
        <v>0</v>
      </c>
      <c r="F8" s="6" t="s">
        <v>243</v>
      </c>
    </row>
    <row r="9" spans="1:6">
      <c r="A9" s="6" t="s">
        <v>244</v>
      </c>
      <c r="B9" s="6" t="s">
        <v>245</v>
      </c>
      <c r="C9" s="6" t="s">
        <v>231</v>
      </c>
      <c r="D9" s="6" t="s">
        <v>246</v>
      </c>
      <c r="E9" s="6" t="s">
        <v>247</v>
      </c>
      <c r="F9" s="6" t="s">
        <v>248</v>
      </c>
    </row>
    <row r="10" spans="1:6">
      <c r="A10" s="6" t="s">
        <v>187</v>
      </c>
      <c r="B10" s="6" t="s">
        <v>249</v>
      </c>
      <c r="C10" s="6" t="s">
        <v>231</v>
      </c>
      <c r="D10" s="6" t="s">
        <v>232</v>
      </c>
      <c r="E10" s="6">
        <v>0</v>
      </c>
      <c r="F10" s="6" t="s">
        <v>250</v>
      </c>
    </row>
    <row r="11" spans="1:6">
      <c r="A11" s="6" t="s">
        <v>188</v>
      </c>
      <c r="B11" s="6" t="s">
        <v>251</v>
      </c>
      <c r="C11" s="6" t="s">
        <v>231</v>
      </c>
      <c r="D11" s="6" t="s">
        <v>232</v>
      </c>
      <c r="E11" s="6">
        <v>0</v>
      </c>
      <c r="F11" s="6" t="s">
        <v>252</v>
      </c>
    </row>
    <row r="12" spans="1:6">
      <c r="A12" s="6" t="s">
        <v>202</v>
      </c>
      <c r="B12" s="6" t="s">
        <v>203</v>
      </c>
      <c r="C12" s="6" t="s">
        <v>204</v>
      </c>
      <c r="D12" s="6" t="s">
        <v>205</v>
      </c>
      <c r="E12" s="6" t="s">
        <v>206</v>
      </c>
      <c r="F12" s="6" t="s">
        <v>207</v>
      </c>
    </row>
    <row r="13" spans="1:6">
      <c r="A13" s="6" t="s">
        <v>208</v>
      </c>
      <c r="B13" s="6" t="s">
        <v>193</v>
      </c>
      <c r="C13" s="6" t="s">
        <v>209</v>
      </c>
      <c r="D13" s="6" t="s">
        <v>210</v>
      </c>
      <c r="E13" s="6" t="s">
        <v>211</v>
      </c>
      <c r="F13" s="6" t="s">
        <v>212</v>
      </c>
    </row>
    <row r="14" spans="1:6">
      <c r="A14" s="6" t="s">
        <v>213</v>
      </c>
      <c r="B14" s="6" t="s">
        <v>214</v>
      </c>
      <c r="C14" s="6" t="s">
        <v>215</v>
      </c>
      <c r="D14" s="6" t="s">
        <v>216</v>
      </c>
      <c r="E14" s="6" t="b">
        <v>0</v>
      </c>
      <c r="F14" s="6" t="s">
        <v>217</v>
      </c>
    </row>
    <row r="15" spans="1:6">
      <c r="A15" s="6" t="s">
        <v>218</v>
      </c>
      <c r="B15" s="6" t="s">
        <v>219</v>
      </c>
      <c r="C15" s="6" t="s">
        <v>220</v>
      </c>
      <c r="D15" s="6" t="s">
        <v>221</v>
      </c>
      <c r="E15" s="6" t="s">
        <v>222</v>
      </c>
      <c r="F15" s="6" t="s">
        <v>223</v>
      </c>
    </row>
    <row r="16" spans="1:6">
      <c r="A16" s="6" t="s">
        <v>224</v>
      </c>
      <c r="B16" s="6" t="s">
        <v>225</v>
      </c>
      <c r="C16" s="6" t="s">
        <v>204</v>
      </c>
      <c r="D16" s="6" t="s">
        <v>205</v>
      </c>
      <c r="E16" s="6" t="s">
        <v>206</v>
      </c>
      <c r="F16" s="6" t="s">
        <v>226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0AEB-4C93-450D-9498-192ED956FD6F}">
  <sheetPr>
    <tabColor theme="0" tint="-0.499984740745262"/>
  </sheetPr>
  <dimension ref="A1:B7"/>
  <sheetViews>
    <sheetView workbookViewId="0">
      <selection activeCell="M30" sqref="M30"/>
    </sheetView>
  </sheetViews>
  <sheetFormatPr defaultRowHeight="15"/>
  <cols>
    <col min="1" max="9" width="27.25" style="3" customWidth="1"/>
    <col min="10" max="16384" width="8.6640625" style="3"/>
  </cols>
  <sheetData>
    <row r="1" spans="1:2" ht="19">
      <c r="A1" s="2" t="s">
        <v>45</v>
      </c>
    </row>
    <row r="2" spans="1:2" ht="18">
      <c r="A2" s="3" t="s">
        <v>196</v>
      </c>
      <c r="B2"/>
    </row>
    <row r="3" spans="1:2">
      <c r="A3" s="3" t="s">
        <v>197</v>
      </c>
    </row>
    <row r="4" spans="1:2" ht="18">
      <c r="A4" s="7" t="s">
        <v>195</v>
      </c>
    </row>
    <row r="7" spans="1:2" ht="18">
      <c r="A7"/>
    </row>
  </sheetData>
  <phoneticPr fontId="2"/>
  <hyperlinks>
    <hyperlink ref="A4" r:id="rId1" xr:uid="{00DC73FF-021A-4491-B86B-80D80129EDD2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4F93-C4D7-404A-BEC1-1490FD8E8564}">
  <sheetPr>
    <tabColor theme="0" tint="-0.499984740745262"/>
  </sheetPr>
  <dimension ref="A1:H4"/>
  <sheetViews>
    <sheetView workbookViewId="0">
      <selection activeCell="M30" sqref="M30"/>
    </sheetView>
  </sheetViews>
  <sheetFormatPr defaultRowHeight="15"/>
  <cols>
    <col min="1" max="8" width="27.25" style="3" customWidth="1"/>
    <col min="9" max="16384" width="8.6640625" style="3"/>
  </cols>
  <sheetData>
    <row r="1" spans="1:8" ht="19">
      <c r="A1" s="2" t="s">
        <v>102</v>
      </c>
    </row>
    <row r="3" spans="1:8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27</v>
      </c>
    </row>
    <row r="4" spans="1:8" ht="30">
      <c r="A4" s="17" t="s">
        <v>168</v>
      </c>
      <c r="B4" s="17" t="s">
        <v>52</v>
      </c>
      <c r="C4" s="18" t="s">
        <v>171</v>
      </c>
      <c r="D4" s="17" t="s">
        <v>169</v>
      </c>
      <c r="E4" s="17"/>
      <c r="F4" s="17"/>
      <c r="G4" s="17" t="s">
        <v>170</v>
      </c>
      <c r="H4" s="17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22A-3DC5-46DB-9FBC-349CB11A7ED9}">
  <sheetPr>
    <tabColor theme="0" tint="-0.499984740745262"/>
  </sheetPr>
  <dimension ref="A1:J19"/>
  <sheetViews>
    <sheetView zoomScale="115" zoomScaleNormal="115" workbookViewId="0">
      <selection activeCell="M30" sqref="M30"/>
    </sheetView>
  </sheetViews>
  <sheetFormatPr defaultRowHeight="18"/>
  <cols>
    <col min="1" max="1" width="8.6640625" style="22"/>
    <col min="2" max="2" width="17.83203125" style="22" customWidth="1"/>
    <col min="3" max="3" width="34.83203125" style="22" customWidth="1"/>
    <col min="4" max="10" width="16.1640625" style="22" customWidth="1"/>
    <col min="11" max="16384" width="8.6640625" style="22"/>
  </cols>
  <sheetData>
    <row r="1" spans="1:10" ht="22.5">
      <c r="A1" s="27" t="s">
        <v>257</v>
      </c>
    </row>
    <row r="2" spans="1:10">
      <c r="A2" s="26" t="s">
        <v>261</v>
      </c>
      <c r="B2" s="21" t="s">
        <v>274</v>
      </c>
      <c r="C2" s="21" t="s">
        <v>275</v>
      </c>
      <c r="D2" s="25" t="s">
        <v>181</v>
      </c>
      <c r="E2" s="25" t="s">
        <v>182</v>
      </c>
      <c r="F2" s="25" t="s">
        <v>183</v>
      </c>
      <c r="G2" s="25" t="s">
        <v>184</v>
      </c>
      <c r="H2" s="25" t="s">
        <v>185</v>
      </c>
      <c r="I2" s="25" t="s">
        <v>267</v>
      </c>
      <c r="J2" s="25" t="s">
        <v>186</v>
      </c>
    </row>
    <row r="3" spans="1:10">
      <c r="A3" s="24" t="s">
        <v>262</v>
      </c>
      <c r="B3" s="24" t="s">
        <v>268</v>
      </c>
      <c r="C3" s="24"/>
      <c r="D3" s="23">
        <v>13</v>
      </c>
      <c r="E3" s="23">
        <v>6</v>
      </c>
      <c r="F3" s="23">
        <v>11</v>
      </c>
      <c r="G3" s="23">
        <v>8</v>
      </c>
      <c r="H3" s="23">
        <v>9</v>
      </c>
      <c r="I3" s="23"/>
      <c r="J3" s="23"/>
    </row>
    <row r="4" spans="1:10">
      <c r="A4" s="24" t="s">
        <v>263</v>
      </c>
      <c r="B4" s="24" t="s">
        <v>269</v>
      </c>
      <c r="C4" s="24"/>
      <c r="D4" s="23"/>
      <c r="E4" s="23"/>
      <c r="F4" s="23">
        <v>12</v>
      </c>
      <c r="G4" s="23">
        <v>8</v>
      </c>
      <c r="H4" s="23">
        <v>10</v>
      </c>
      <c r="I4" s="23">
        <v>7</v>
      </c>
      <c r="J4" s="23">
        <v>13</v>
      </c>
    </row>
    <row r="5" spans="1:10">
      <c r="A5" s="24" t="s">
        <v>264</v>
      </c>
      <c r="B5" s="24" t="s">
        <v>270</v>
      </c>
      <c r="C5" s="24"/>
      <c r="D5" s="23">
        <v>6</v>
      </c>
      <c r="E5" s="23"/>
      <c r="F5" s="23">
        <v>11</v>
      </c>
      <c r="G5" s="23">
        <v>9</v>
      </c>
      <c r="H5" s="23"/>
      <c r="I5" s="23">
        <v>8</v>
      </c>
      <c r="J5" s="23">
        <v>12</v>
      </c>
    </row>
    <row r="6" spans="1:10">
      <c r="A6" s="24" t="s">
        <v>265</v>
      </c>
      <c r="B6" s="24" t="s">
        <v>271</v>
      </c>
      <c r="C6" s="24"/>
      <c r="D6" s="23">
        <v>12</v>
      </c>
      <c r="E6" s="23">
        <v>15</v>
      </c>
      <c r="F6" s="23">
        <v>8</v>
      </c>
      <c r="G6" s="23"/>
      <c r="H6" s="23">
        <v>4</v>
      </c>
      <c r="I6" s="23"/>
      <c r="J6" s="23">
        <v>7</v>
      </c>
    </row>
    <row r="7" spans="1:10" s="16" customFormat="1">
      <c r="A7" s="30" t="s">
        <v>266</v>
      </c>
      <c r="B7" s="30" t="s">
        <v>272</v>
      </c>
      <c r="C7" s="30" t="s">
        <v>273</v>
      </c>
      <c r="D7" s="31">
        <f>SUM(D3:D6)</f>
        <v>31</v>
      </c>
      <c r="E7" s="31">
        <f t="shared" ref="E7:J7" si="0">SUM(E3:E6)</f>
        <v>21</v>
      </c>
      <c r="F7" s="31">
        <f t="shared" si="0"/>
        <v>42</v>
      </c>
      <c r="G7" s="31">
        <f t="shared" si="0"/>
        <v>25</v>
      </c>
      <c r="H7" s="31">
        <f t="shared" si="0"/>
        <v>23</v>
      </c>
      <c r="I7" s="31">
        <f t="shared" si="0"/>
        <v>15</v>
      </c>
      <c r="J7" s="31">
        <f t="shared" si="0"/>
        <v>32</v>
      </c>
    </row>
    <row r="8" spans="1:10" ht="7.5" customHeight="1"/>
    <row r="9" spans="1:10" s="16" customFormat="1">
      <c r="A9" s="24" t="s">
        <v>276</v>
      </c>
      <c r="B9" s="24" t="s">
        <v>288</v>
      </c>
      <c r="C9" s="24"/>
      <c r="D9" s="23">
        <v>91</v>
      </c>
      <c r="E9" s="23">
        <v>73</v>
      </c>
      <c r="F9" s="23">
        <v>103</v>
      </c>
      <c r="G9" s="23">
        <v>84</v>
      </c>
      <c r="H9" s="23">
        <v>75</v>
      </c>
      <c r="I9" s="23">
        <v>48</v>
      </c>
      <c r="J9" s="23">
        <v>50</v>
      </c>
    </row>
    <row r="10" spans="1:10" ht="7.5" customHeight="1"/>
    <row r="11" spans="1:10" s="16" customFormat="1">
      <c r="A11" s="30" t="s">
        <v>277</v>
      </c>
      <c r="B11" s="30" t="s">
        <v>278</v>
      </c>
      <c r="C11" s="30" t="s">
        <v>279</v>
      </c>
      <c r="D11" s="31">
        <f>D9-D7</f>
        <v>60</v>
      </c>
      <c r="E11" s="31">
        <f t="shared" ref="E11:J11" si="1">E9-E7</f>
        <v>52</v>
      </c>
      <c r="F11" s="31">
        <f t="shared" si="1"/>
        <v>61</v>
      </c>
      <c r="G11" s="31">
        <f t="shared" si="1"/>
        <v>59</v>
      </c>
      <c r="H11" s="31">
        <f t="shared" si="1"/>
        <v>52</v>
      </c>
      <c r="I11" s="31">
        <f t="shared" si="1"/>
        <v>33</v>
      </c>
      <c r="J11" s="31">
        <f t="shared" si="1"/>
        <v>18</v>
      </c>
    </row>
    <row r="12" spans="1:10" ht="7.5" customHeight="1"/>
    <row r="13" spans="1:10" s="16" customFormat="1">
      <c r="A13" s="30" t="s">
        <v>280</v>
      </c>
      <c r="B13" s="30" t="s">
        <v>289</v>
      </c>
      <c r="C13" s="30"/>
      <c r="D13" s="31">
        <v>50</v>
      </c>
      <c r="E13" s="31">
        <v>40</v>
      </c>
      <c r="F13" s="31">
        <v>50</v>
      </c>
      <c r="G13" s="31">
        <v>30</v>
      </c>
      <c r="H13" s="31">
        <v>40</v>
      </c>
      <c r="I13" s="31">
        <v>30</v>
      </c>
      <c r="J13" s="31">
        <v>40</v>
      </c>
    </row>
    <row r="14" spans="1:10" ht="19" customHeight="1">
      <c r="A14" s="24" t="s">
        <v>290</v>
      </c>
      <c r="B14" s="24" t="s">
        <v>291</v>
      </c>
      <c r="C14" s="24"/>
      <c r="D14" s="23">
        <v>100</v>
      </c>
      <c r="E14" s="23">
        <v>80</v>
      </c>
      <c r="F14" s="23">
        <v>100</v>
      </c>
      <c r="G14" s="23">
        <v>60</v>
      </c>
      <c r="H14" s="23">
        <v>80</v>
      </c>
      <c r="I14" s="23">
        <v>60</v>
      </c>
      <c r="J14" s="23">
        <v>80</v>
      </c>
    </row>
    <row r="15" spans="1:10" ht="7.5" customHeight="1"/>
    <row r="16" spans="1:10">
      <c r="A16" s="24" t="s">
        <v>281</v>
      </c>
      <c r="B16" s="24" t="s">
        <v>292</v>
      </c>
      <c r="C16" s="24" t="s">
        <v>282</v>
      </c>
      <c r="D16" s="28"/>
      <c r="E16" s="28"/>
      <c r="F16" s="28"/>
      <c r="G16" s="28"/>
      <c r="H16" s="28"/>
      <c r="I16" s="28"/>
      <c r="J16" s="29" t="str">
        <f t="shared" ref="J16" si="2">IF(J11&gt;J13,"発注不要","発注必要")</f>
        <v>発注必要</v>
      </c>
    </row>
    <row r="17" spans="1:10">
      <c r="A17" s="24" t="s">
        <v>284</v>
      </c>
      <c r="B17" s="24" t="s">
        <v>283</v>
      </c>
      <c r="C17" s="24" t="s">
        <v>293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80</v>
      </c>
    </row>
    <row r="18" spans="1:10" ht="7.5" customHeight="1"/>
    <row r="19" spans="1:10" s="16" customFormat="1">
      <c r="A19" s="30" t="s">
        <v>286</v>
      </c>
      <c r="B19" s="30" t="s">
        <v>285</v>
      </c>
      <c r="C19" s="30" t="s">
        <v>287</v>
      </c>
      <c r="D19" s="31">
        <f>D11+D17</f>
        <v>60</v>
      </c>
      <c r="E19" s="31">
        <f t="shared" ref="E19:J19" si="3">E11+E17</f>
        <v>52</v>
      </c>
      <c r="F19" s="31">
        <f t="shared" si="3"/>
        <v>61</v>
      </c>
      <c r="G19" s="31">
        <f t="shared" si="3"/>
        <v>59</v>
      </c>
      <c r="H19" s="31">
        <f t="shared" si="3"/>
        <v>52</v>
      </c>
      <c r="I19" s="31">
        <f t="shared" si="3"/>
        <v>33</v>
      </c>
      <c r="J19" s="31">
        <f t="shared" si="3"/>
        <v>98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FD7A-79BA-4E09-BD0F-81F91665DA82}">
  <sheetPr>
    <tabColor theme="0" tint="-0.499984740745262"/>
  </sheetPr>
  <dimension ref="A1:D84"/>
  <sheetViews>
    <sheetView zoomScale="115" zoomScaleNormal="115" workbookViewId="0">
      <selection activeCell="M30" sqref="M30"/>
    </sheetView>
  </sheetViews>
  <sheetFormatPr defaultRowHeight="18"/>
  <cols>
    <col min="1" max="1" width="19.1640625" customWidth="1"/>
    <col min="2" max="2" width="25.08203125" customWidth="1"/>
    <col min="3" max="3" width="16.33203125" customWidth="1"/>
  </cols>
  <sheetData>
    <row r="1" spans="1:4" ht="38.5">
      <c r="A1" s="40" t="s">
        <v>310</v>
      </c>
    </row>
    <row r="3" spans="1:4" ht="29">
      <c r="A3" s="38" t="s">
        <v>311</v>
      </c>
    </row>
    <row r="4" spans="1:4" ht="22">
      <c r="B4" s="41" t="s">
        <v>9</v>
      </c>
      <c r="C4" s="39" t="s">
        <v>312</v>
      </c>
    </row>
    <row r="5" spans="1:4" ht="22">
      <c r="B5" s="41" t="s">
        <v>313</v>
      </c>
      <c r="C5" s="39" t="s">
        <v>314</v>
      </c>
    </row>
    <row r="6" spans="1:4">
      <c r="C6" s="39" t="s">
        <v>315</v>
      </c>
    </row>
    <row r="7" spans="1:4">
      <c r="C7" s="39" t="s">
        <v>385</v>
      </c>
    </row>
    <row r="8" spans="1:4">
      <c r="C8" s="39" t="s">
        <v>386</v>
      </c>
    </row>
    <row r="9" spans="1:4">
      <c r="C9" s="39" t="s">
        <v>316</v>
      </c>
    </row>
    <row r="10" spans="1:4">
      <c r="C10" s="39" t="s">
        <v>318</v>
      </c>
    </row>
    <row r="11" spans="1:4" ht="22">
      <c r="B11" s="41" t="s">
        <v>389</v>
      </c>
      <c r="C11" s="39" t="s">
        <v>387</v>
      </c>
    </row>
    <row r="13" spans="1:4" ht="29">
      <c r="A13" s="38" t="s">
        <v>319</v>
      </c>
    </row>
    <row r="14" spans="1:4" ht="22">
      <c r="B14" s="41" t="s">
        <v>9</v>
      </c>
      <c r="C14" s="42" t="s">
        <v>320</v>
      </c>
    </row>
    <row r="15" spans="1:4" ht="22">
      <c r="B15" s="41" t="s">
        <v>321</v>
      </c>
      <c r="C15" s="42" t="s">
        <v>322</v>
      </c>
      <c r="D15" s="43" t="s">
        <v>323</v>
      </c>
    </row>
    <row r="16" spans="1:4">
      <c r="A16" s="39"/>
      <c r="D16" s="43" t="s">
        <v>324</v>
      </c>
    </row>
    <row r="17" spans="1:4">
      <c r="D17" s="43" t="s">
        <v>325</v>
      </c>
    </row>
    <row r="18" spans="1:4">
      <c r="D18" s="43" t="s">
        <v>326</v>
      </c>
    </row>
    <row r="19" spans="1:4">
      <c r="C19" s="42" t="s">
        <v>327</v>
      </c>
    </row>
    <row r="20" spans="1:4">
      <c r="A20" s="43"/>
      <c r="D20" s="43" t="s">
        <v>328</v>
      </c>
    </row>
    <row r="21" spans="1:4">
      <c r="D21" s="43" t="s">
        <v>329</v>
      </c>
    </row>
    <row r="22" spans="1:4">
      <c r="D22" s="43" t="s">
        <v>330</v>
      </c>
    </row>
    <row r="23" spans="1:4">
      <c r="D23" s="43" t="s">
        <v>331</v>
      </c>
    </row>
    <row r="24" spans="1:4">
      <c r="C24" s="42" t="s">
        <v>332</v>
      </c>
      <c r="D24" s="43" t="s">
        <v>333</v>
      </c>
    </row>
    <row r="25" spans="1:4">
      <c r="D25" s="43" t="s">
        <v>334</v>
      </c>
    </row>
    <row r="26" spans="1:4" ht="22">
      <c r="B26" s="41" t="s">
        <v>335</v>
      </c>
      <c r="C26" s="39" t="s">
        <v>336</v>
      </c>
    </row>
    <row r="27" spans="1:4">
      <c r="A27" s="39"/>
      <c r="C27" s="39" t="s">
        <v>337</v>
      </c>
    </row>
    <row r="29" spans="1:4" ht="29">
      <c r="A29" s="38" t="s">
        <v>338</v>
      </c>
    </row>
    <row r="30" spans="1:4" ht="22">
      <c r="B30" s="41" t="s">
        <v>9</v>
      </c>
      <c r="C30" s="39" t="s">
        <v>339</v>
      </c>
    </row>
    <row r="31" spans="1:4" ht="22">
      <c r="B31" s="41" t="s">
        <v>340</v>
      </c>
      <c r="C31" s="39" t="s">
        <v>341</v>
      </c>
    </row>
    <row r="32" spans="1:4">
      <c r="C32" s="39" t="s">
        <v>342</v>
      </c>
    </row>
    <row r="33" spans="1:3">
      <c r="C33" s="39" t="s">
        <v>343</v>
      </c>
    </row>
    <row r="34" spans="1:3" ht="22">
      <c r="B34" s="41" t="s">
        <v>344</v>
      </c>
      <c r="C34" s="39" t="s">
        <v>345</v>
      </c>
    </row>
    <row r="35" spans="1:3">
      <c r="C35" s="39" t="s">
        <v>346</v>
      </c>
    </row>
    <row r="36" spans="1:3">
      <c r="C36" s="39" t="s">
        <v>347</v>
      </c>
    </row>
    <row r="37" spans="1:3" ht="22">
      <c r="B37" s="41" t="s">
        <v>348</v>
      </c>
      <c r="C37" s="39" t="s">
        <v>349</v>
      </c>
    </row>
    <row r="38" spans="1:3">
      <c r="C38" s="39" t="s">
        <v>350</v>
      </c>
    </row>
    <row r="39" spans="1:3">
      <c r="A39" s="39"/>
    </row>
    <row r="40" spans="1:3" ht="29">
      <c r="A40" s="38" t="s">
        <v>351</v>
      </c>
    </row>
    <row r="41" spans="1:3" ht="22">
      <c r="A41" s="39"/>
      <c r="B41" s="41" t="s">
        <v>9</v>
      </c>
      <c r="C41" s="42" t="s">
        <v>352</v>
      </c>
    </row>
    <row r="42" spans="1:3" ht="22">
      <c r="B42" s="41" t="s">
        <v>353</v>
      </c>
      <c r="C42" s="39" t="s">
        <v>316</v>
      </c>
    </row>
    <row r="43" spans="1:3">
      <c r="C43" s="39" t="s">
        <v>354</v>
      </c>
    </row>
    <row r="44" spans="1:3">
      <c r="C44" s="39" t="s">
        <v>355</v>
      </c>
    </row>
    <row r="45" spans="1:3">
      <c r="C45" s="39" t="s">
        <v>356</v>
      </c>
    </row>
    <row r="46" spans="1:3" ht="22">
      <c r="B46" s="41" t="s">
        <v>344</v>
      </c>
      <c r="C46" s="39" t="s">
        <v>357</v>
      </c>
    </row>
    <row r="47" spans="1:3">
      <c r="C47" s="39" t="s">
        <v>358</v>
      </c>
    </row>
    <row r="48" spans="1:3">
      <c r="C48" s="39" t="s">
        <v>359</v>
      </c>
    </row>
    <row r="49" spans="1:3" ht="22">
      <c r="B49" s="41" t="s">
        <v>360</v>
      </c>
      <c r="C49" s="39" t="s">
        <v>388</v>
      </c>
    </row>
    <row r="50" spans="1:3">
      <c r="A50" s="39"/>
      <c r="C50" s="39"/>
    </row>
    <row r="51" spans="1:3" ht="29">
      <c r="A51" s="38" t="s">
        <v>361</v>
      </c>
    </row>
    <row r="52" spans="1:3" ht="22">
      <c r="B52" s="41" t="s">
        <v>9</v>
      </c>
      <c r="C52" s="42" t="s">
        <v>362</v>
      </c>
    </row>
    <row r="53" spans="1:3" ht="22">
      <c r="B53" s="41" t="s">
        <v>363</v>
      </c>
      <c r="C53" s="39" t="s">
        <v>364</v>
      </c>
    </row>
    <row r="54" spans="1:3">
      <c r="C54" s="39" t="s">
        <v>365</v>
      </c>
    </row>
    <row r="55" spans="1:3">
      <c r="C55" s="39" t="s">
        <v>366</v>
      </c>
    </row>
    <row r="56" spans="1:3" ht="22">
      <c r="B56" s="41" t="s">
        <v>367</v>
      </c>
      <c r="C56" s="39" t="s">
        <v>368</v>
      </c>
    </row>
    <row r="57" spans="1:3">
      <c r="A57" s="39"/>
      <c r="C57" s="39" t="s">
        <v>369</v>
      </c>
    </row>
    <row r="58" spans="1:3" ht="22">
      <c r="B58" s="41" t="s">
        <v>370</v>
      </c>
      <c r="C58" s="39" t="s">
        <v>371</v>
      </c>
    </row>
    <row r="59" spans="1:3">
      <c r="A59" s="39"/>
      <c r="C59" s="39" t="s">
        <v>372</v>
      </c>
    </row>
    <row r="61" spans="1:3" ht="29">
      <c r="A61" s="38" t="s">
        <v>373</v>
      </c>
    </row>
    <row r="62" spans="1:3" ht="22">
      <c r="B62" s="41" t="s">
        <v>374</v>
      </c>
      <c r="C62" s="39" t="s">
        <v>375</v>
      </c>
    </row>
    <row r="63" spans="1:3">
      <c r="A63" s="39"/>
      <c r="C63" s="39" t="s">
        <v>376</v>
      </c>
    </row>
    <row r="64" spans="1:3">
      <c r="C64" s="39" t="s">
        <v>377</v>
      </c>
    </row>
    <row r="65" spans="1:3">
      <c r="C65" s="39" t="s">
        <v>378</v>
      </c>
    </row>
    <row r="66" spans="1:3">
      <c r="C66" s="39" t="s">
        <v>305</v>
      </c>
    </row>
    <row r="67" spans="1:3" ht="22">
      <c r="B67" s="41" t="s">
        <v>379</v>
      </c>
      <c r="C67" s="39" t="s">
        <v>315</v>
      </c>
    </row>
    <row r="68" spans="1:3">
      <c r="A68" s="39"/>
      <c r="C68" s="39" t="s">
        <v>385</v>
      </c>
    </row>
    <row r="69" spans="1:3">
      <c r="C69" s="39" t="s">
        <v>386</v>
      </c>
    </row>
    <row r="70" spans="1:3">
      <c r="C70" s="39" t="s">
        <v>316</v>
      </c>
    </row>
    <row r="71" spans="1:3">
      <c r="C71" s="39" t="s">
        <v>317</v>
      </c>
    </row>
    <row r="72" spans="1:3">
      <c r="C72" s="39" t="s">
        <v>380</v>
      </c>
    </row>
    <row r="73" spans="1:3">
      <c r="C73" s="39" t="s">
        <v>381</v>
      </c>
    </row>
    <row r="74" spans="1:3" ht="22">
      <c r="B74" s="41" t="s">
        <v>344</v>
      </c>
      <c r="C74" s="39" t="s">
        <v>382</v>
      </c>
    </row>
    <row r="75" spans="1:3">
      <c r="C75" s="39" t="s">
        <v>383</v>
      </c>
    </row>
    <row r="76" spans="1:3" ht="22">
      <c r="B76" s="41" t="s">
        <v>384</v>
      </c>
      <c r="C76" s="39" t="s">
        <v>390</v>
      </c>
    </row>
    <row r="77" spans="1:3">
      <c r="C77" s="39"/>
    </row>
    <row r="78" spans="1:3">
      <c r="A78" s="39"/>
    </row>
    <row r="80" spans="1:3">
      <c r="A80" s="39"/>
    </row>
    <row r="84" spans="1:1">
      <c r="A84" s="39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D745-FA7B-4397-B3D5-ABFB8777A3F6}">
  <sheetPr>
    <tabColor theme="0" tint="-0.499984740745262"/>
  </sheetPr>
  <dimension ref="A1:F13"/>
  <sheetViews>
    <sheetView workbookViewId="0">
      <selection activeCell="C16" sqref="C16"/>
    </sheetView>
  </sheetViews>
  <sheetFormatPr defaultRowHeight="15"/>
  <cols>
    <col min="1" max="8" width="27.25" style="3" customWidth="1"/>
    <col min="9" max="16384" width="8.6640625" style="3"/>
  </cols>
  <sheetData>
    <row r="1" spans="1:6" ht="19">
      <c r="A1" s="2" t="s">
        <v>101</v>
      </c>
    </row>
    <row r="3" spans="1:6" ht="30">
      <c r="A3" s="5" t="s">
        <v>29</v>
      </c>
      <c r="B3" s="5" t="s">
        <v>30</v>
      </c>
      <c r="C3" s="5" t="s">
        <v>24</v>
      </c>
      <c r="D3" s="5" t="s">
        <v>77</v>
      </c>
      <c r="E3" s="5" t="s">
        <v>26</v>
      </c>
      <c r="F3" s="5" t="s">
        <v>27</v>
      </c>
    </row>
    <row r="4" spans="1:6">
      <c r="A4" s="15" t="s">
        <v>66</v>
      </c>
      <c r="B4" s="15" t="s">
        <v>67</v>
      </c>
      <c r="C4" s="15" t="s">
        <v>78</v>
      </c>
      <c r="D4" s="15" t="s">
        <v>79</v>
      </c>
      <c r="E4" s="15" t="s">
        <v>68</v>
      </c>
      <c r="F4" s="15" t="s">
        <v>80</v>
      </c>
    </row>
    <row r="5" spans="1:6">
      <c r="A5" s="15" t="s">
        <v>66</v>
      </c>
      <c r="B5" s="15" t="s">
        <v>81</v>
      </c>
      <c r="C5" s="15" t="s">
        <v>82</v>
      </c>
      <c r="D5" s="15" t="s">
        <v>83</v>
      </c>
      <c r="E5" s="15" t="s">
        <v>68</v>
      </c>
      <c r="F5" s="15" t="s">
        <v>84</v>
      </c>
    </row>
    <row r="6" spans="1:6">
      <c r="A6" s="15" t="s">
        <v>66</v>
      </c>
      <c r="B6" s="15" t="s">
        <v>85</v>
      </c>
      <c r="C6" s="15" t="s">
        <v>86</v>
      </c>
      <c r="D6" s="15" t="s">
        <v>87</v>
      </c>
      <c r="E6" s="15" t="s">
        <v>68</v>
      </c>
      <c r="F6" s="15" t="s">
        <v>88</v>
      </c>
    </row>
    <row r="7" spans="1:6">
      <c r="A7" s="15" t="s">
        <v>70</v>
      </c>
      <c r="B7" s="15" t="s">
        <v>71</v>
      </c>
      <c r="C7" s="15" t="s">
        <v>78</v>
      </c>
      <c r="D7" s="15" t="s">
        <v>79</v>
      </c>
      <c r="E7" s="15" t="s">
        <v>68</v>
      </c>
      <c r="F7" s="15" t="s">
        <v>89</v>
      </c>
    </row>
    <row r="8" spans="1:6">
      <c r="A8" s="15" t="s">
        <v>70</v>
      </c>
      <c r="B8" s="15" t="s">
        <v>81</v>
      </c>
      <c r="C8" s="15" t="s">
        <v>86</v>
      </c>
      <c r="D8" s="15" t="s">
        <v>83</v>
      </c>
      <c r="E8" s="15" t="s">
        <v>68</v>
      </c>
      <c r="F8" s="15" t="s">
        <v>90</v>
      </c>
    </row>
    <row r="9" spans="1:6">
      <c r="A9" s="15" t="s">
        <v>70</v>
      </c>
      <c r="B9" s="15" t="s">
        <v>91</v>
      </c>
      <c r="C9" s="15" t="s">
        <v>92</v>
      </c>
      <c r="D9" s="15" t="s">
        <v>83</v>
      </c>
      <c r="E9" s="15">
        <v>0</v>
      </c>
      <c r="F9" s="15" t="s">
        <v>93</v>
      </c>
    </row>
    <row r="10" spans="1:6">
      <c r="A10" s="15" t="s">
        <v>73</v>
      </c>
      <c r="B10" s="15" t="s">
        <v>74</v>
      </c>
      <c r="C10" s="15" t="s">
        <v>78</v>
      </c>
      <c r="D10" s="15" t="s">
        <v>79</v>
      </c>
      <c r="E10" s="15" t="s">
        <v>68</v>
      </c>
      <c r="F10" s="15" t="s">
        <v>94</v>
      </c>
    </row>
    <row r="11" spans="1:6">
      <c r="A11" s="15" t="s">
        <v>73</v>
      </c>
      <c r="B11" s="15" t="s">
        <v>67</v>
      </c>
      <c r="C11" s="15" t="s">
        <v>78</v>
      </c>
      <c r="D11" s="15" t="s">
        <v>95</v>
      </c>
      <c r="E11" s="15" t="s">
        <v>68</v>
      </c>
      <c r="F11" s="15" t="s">
        <v>96</v>
      </c>
    </row>
    <row r="12" spans="1:6">
      <c r="A12" s="15" t="s">
        <v>73</v>
      </c>
      <c r="B12" s="15" t="s">
        <v>71</v>
      </c>
      <c r="C12" s="15" t="s">
        <v>78</v>
      </c>
      <c r="D12" s="15" t="s">
        <v>97</v>
      </c>
      <c r="E12" s="15" t="s">
        <v>68</v>
      </c>
      <c r="F12" s="15" t="s">
        <v>98</v>
      </c>
    </row>
    <row r="13" spans="1:6">
      <c r="A13" s="15" t="s">
        <v>73</v>
      </c>
      <c r="B13" s="15" t="s">
        <v>99</v>
      </c>
      <c r="C13" s="15" t="s">
        <v>78</v>
      </c>
      <c r="D13" s="15" t="s">
        <v>83</v>
      </c>
      <c r="E13" s="15">
        <v>1</v>
      </c>
      <c r="F13" s="15" t="s">
        <v>100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1FDF-4596-4FAB-9F97-EB0D2EBF4162}">
  <sheetPr>
    <tabColor theme="0" tint="-0.499984740745262"/>
  </sheetPr>
  <dimension ref="A1:F9"/>
  <sheetViews>
    <sheetView zoomScaleNormal="100" workbookViewId="0">
      <selection activeCell="C16" sqref="C16"/>
    </sheetView>
  </sheetViews>
  <sheetFormatPr defaultRowHeight="15"/>
  <cols>
    <col min="1" max="8" width="27.25" style="3" customWidth="1"/>
    <col min="9" max="16384" width="8.6640625" style="3"/>
  </cols>
  <sheetData>
    <row r="1" spans="1:6" ht="19">
      <c r="A1" s="2" t="s">
        <v>46</v>
      </c>
    </row>
    <row r="3" spans="1:6">
      <c r="A3" s="5" t="s">
        <v>29</v>
      </c>
      <c r="B3" s="5" t="s">
        <v>63</v>
      </c>
      <c r="C3" s="5" t="s">
        <v>64</v>
      </c>
      <c r="D3" s="5" t="s">
        <v>65</v>
      </c>
      <c r="E3" s="5" t="s">
        <v>27</v>
      </c>
      <c r="F3" s="5" t="s">
        <v>172</v>
      </c>
    </row>
    <row r="4" spans="1:6">
      <c r="A4" s="15" t="s">
        <v>66</v>
      </c>
      <c r="B4" s="15" t="s">
        <v>67</v>
      </c>
      <c r="C4" s="15" t="s">
        <v>68</v>
      </c>
      <c r="D4" s="15" t="s">
        <v>69</v>
      </c>
      <c r="E4" s="15"/>
      <c r="F4" s="15" t="s">
        <v>173</v>
      </c>
    </row>
    <row r="5" spans="1:6">
      <c r="A5" s="15" t="s">
        <v>70</v>
      </c>
      <c r="B5" s="15" t="s">
        <v>71</v>
      </c>
      <c r="C5" s="15" t="s">
        <v>68</v>
      </c>
      <c r="D5" s="15" t="s">
        <v>72</v>
      </c>
      <c r="E5" s="15"/>
      <c r="F5" s="15" t="s">
        <v>173</v>
      </c>
    </row>
    <row r="6" spans="1:6">
      <c r="A6" s="15" t="s">
        <v>73</v>
      </c>
      <c r="B6" s="15" t="s">
        <v>74</v>
      </c>
      <c r="C6" s="15" t="s">
        <v>75</v>
      </c>
      <c r="D6" s="15" t="s">
        <v>76</v>
      </c>
      <c r="E6" s="15"/>
      <c r="F6" s="15" t="s">
        <v>173</v>
      </c>
    </row>
    <row r="7" spans="1:6" ht="18">
      <c r="A7"/>
      <c r="B7"/>
      <c r="C7"/>
      <c r="D7"/>
      <c r="E7"/>
      <c r="F7"/>
    </row>
    <row r="8" spans="1:6" ht="18">
      <c r="A8"/>
      <c r="B8"/>
      <c r="C8"/>
      <c r="D8"/>
      <c r="E8"/>
      <c r="F8"/>
    </row>
    <row r="9" spans="1:6" ht="18">
      <c r="A9"/>
      <c r="B9"/>
      <c r="C9"/>
      <c r="D9"/>
      <c r="E9"/>
      <c r="F9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3C78-B995-41CE-BAEA-380D20B3E6AE}">
  <sheetPr>
    <tabColor theme="0" tint="-0.499984740745262"/>
  </sheetPr>
  <dimension ref="A1:F11"/>
  <sheetViews>
    <sheetView workbookViewId="0">
      <selection activeCell="C16" sqref="C16"/>
    </sheetView>
  </sheetViews>
  <sheetFormatPr defaultRowHeight="15"/>
  <cols>
    <col min="1" max="8" width="27.25" style="3" customWidth="1"/>
    <col min="9" max="16384" width="8.6640625" style="3"/>
  </cols>
  <sheetData>
    <row r="1" spans="1:6" ht="19">
      <c r="A1" s="2" t="s">
        <v>142</v>
      </c>
    </row>
    <row r="3" spans="1:6">
      <c r="A3" s="5" t="s">
        <v>104</v>
      </c>
      <c r="B3" s="5" t="s">
        <v>105</v>
      </c>
      <c r="C3" s="5" t="s">
        <v>106</v>
      </c>
      <c r="D3" s="5" t="s">
        <v>107</v>
      </c>
      <c r="E3" s="5" t="s">
        <v>108</v>
      </c>
      <c r="F3" s="5" t="s">
        <v>27</v>
      </c>
    </row>
    <row r="4" spans="1:6">
      <c r="A4" s="15" t="s">
        <v>109</v>
      </c>
      <c r="B4" s="15" t="s">
        <v>110</v>
      </c>
      <c r="C4" s="15" t="s">
        <v>111</v>
      </c>
      <c r="D4" s="15" t="s">
        <v>68</v>
      </c>
      <c r="E4" s="15" t="s">
        <v>112</v>
      </c>
      <c r="F4" s="15"/>
    </row>
    <row r="5" spans="1:6">
      <c r="A5" s="15" t="s">
        <v>113</v>
      </c>
      <c r="B5" s="15" t="s">
        <v>112</v>
      </c>
      <c r="C5" s="15" t="s">
        <v>114</v>
      </c>
      <c r="D5" s="15" t="s">
        <v>110</v>
      </c>
      <c r="E5" s="15" t="s">
        <v>115</v>
      </c>
      <c r="F5" s="15"/>
    </row>
    <row r="6" spans="1:6">
      <c r="A6" s="15" t="s">
        <v>116</v>
      </c>
      <c r="B6" s="15" t="s">
        <v>117</v>
      </c>
      <c r="C6" s="15" t="s">
        <v>118</v>
      </c>
      <c r="D6" s="15" t="s">
        <v>112</v>
      </c>
      <c r="E6" s="15" t="s">
        <v>119</v>
      </c>
      <c r="F6" s="15"/>
    </row>
    <row r="7" spans="1:6">
      <c r="A7" s="15" t="s">
        <v>120</v>
      </c>
      <c r="B7" s="15" t="s">
        <v>121</v>
      </c>
      <c r="C7" s="15" t="s">
        <v>122</v>
      </c>
      <c r="D7" s="15" t="s">
        <v>112</v>
      </c>
      <c r="E7" s="15" t="s">
        <v>123</v>
      </c>
      <c r="F7" s="15"/>
    </row>
    <row r="8" spans="1:6">
      <c r="A8" s="15" t="s">
        <v>124</v>
      </c>
      <c r="B8" s="15" t="s">
        <v>125</v>
      </c>
      <c r="C8" s="15" t="s">
        <v>126</v>
      </c>
      <c r="D8" s="15" t="s">
        <v>123</v>
      </c>
      <c r="E8" s="15" t="s">
        <v>127</v>
      </c>
      <c r="F8" s="15"/>
    </row>
    <row r="10" spans="1:6" ht="18">
      <c r="A10"/>
      <c r="B10"/>
      <c r="C10"/>
      <c r="D10"/>
      <c r="E10"/>
      <c r="F10"/>
    </row>
    <row r="11" spans="1:6" ht="18">
      <c r="A11"/>
      <c r="B11"/>
      <c r="C11"/>
      <c r="D11"/>
      <c r="E11"/>
      <c r="F11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31B-F393-4F30-B7E2-AAEF4B0140BE}">
  <sheetPr>
    <tabColor theme="0" tint="-0.499984740745262"/>
  </sheetPr>
  <dimension ref="A1:F7"/>
  <sheetViews>
    <sheetView workbookViewId="0">
      <selection activeCell="C16" sqref="C16"/>
    </sheetView>
  </sheetViews>
  <sheetFormatPr defaultRowHeight="15"/>
  <cols>
    <col min="1" max="8" width="27.25" style="3" customWidth="1"/>
    <col min="9" max="16384" width="8.6640625" style="3"/>
  </cols>
  <sheetData>
    <row r="1" spans="1:6" ht="19">
      <c r="A1" s="2" t="s">
        <v>143</v>
      </c>
    </row>
    <row r="3" spans="1:6" ht="30">
      <c r="A3" s="5" t="s">
        <v>104</v>
      </c>
      <c r="B3" s="5" t="s">
        <v>105</v>
      </c>
      <c r="C3" s="5" t="s">
        <v>128</v>
      </c>
      <c r="D3" s="5" t="s">
        <v>129</v>
      </c>
      <c r="E3" s="5" t="s">
        <v>27</v>
      </c>
    </row>
    <row r="4" spans="1:6">
      <c r="A4" s="15" t="s">
        <v>109</v>
      </c>
      <c r="B4" s="15" t="s">
        <v>110</v>
      </c>
      <c r="C4" s="15" t="s">
        <v>130</v>
      </c>
      <c r="D4" s="15" t="s">
        <v>131</v>
      </c>
      <c r="E4" s="15"/>
    </row>
    <row r="5" spans="1:6">
      <c r="A5" s="15" t="s">
        <v>113</v>
      </c>
      <c r="B5" s="15" t="s">
        <v>112</v>
      </c>
      <c r="C5" s="15" t="s">
        <v>130</v>
      </c>
      <c r="D5" s="15" t="s">
        <v>132</v>
      </c>
      <c r="E5" s="15"/>
    </row>
    <row r="6" spans="1:6" ht="18">
      <c r="A6"/>
      <c r="B6"/>
      <c r="C6"/>
      <c r="D6"/>
      <c r="E6"/>
      <c r="F6"/>
    </row>
    <row r="7" spans="1:6" ht="18">
      <c r="A7"/>
      <c r="B7"/>
      <c r="C7"/>
      <c r="D7"/>
      <c r="E7"/>
      <c r="F7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4E48-727C-46F0-B2BF-A7BCFE51C2C7}">
  <sheetPr>
    <tabColor theme="0" tint="-0.499984740745262"/>
  </sheetPr>
  <dimension ref="A1:F10"/>
  <sheetViews>
    <sheetView workbookViewId="0">
      <selection activeCell="C16" sqref="C16"/>
    </sheetView>
  </sheetViews>
  <sheetFormatPr defaultRowHeight="15"/>
  <cols>
    <col min="1" max="8" width="27.25" style="3" customWidth="1"/>
    <col min="9" max="16384" width="8.6640625" style="3"/>
  </cols>
  <sheetData>
    <row r="1" spans="1:6" ht="19">
      <c r="A1" s="2" t="s">
        <v>144</v>
      </c>
      <c r="F1"/>
    </row>
    <row r="2" spans="1:6" ht="18">
      <c r="F2"/>
    </row>
    <row r="3" spans="1:6" ht="30">
      <c r="A3" s="5" t="s">
        <v>104</v>
      </c>
      <c r="B3" s="5" t="s">
        <v>105</v>
      </c>
      <c r="C3" s="5" t="s">
        <v>31</v>
      </c>
      <c r="D3" s="5" t="s">
        <v>32</v>
      </c>
      <c r="E3" s="5" t="s">
        <v>33</v>
      </c>
      <c r="F3" s="5" t="s">
        <v>34</v>
      </c>
    </row>
    <row r="4" spans="1:6">
      <c r="A4" s="15" t="s">
        <v>109</v>
      </c>
      <c r="B4" s="15" t="s">
        <v>110</v>
      </c>
      <c r="C4" s="15" t="s">
        <v>133</v>
      </c>
      <c r="D4" s="15" t="s">
        <v>135</v>
      </c>
      <c r="E4" s="15" t="s">
        <v>136</v>
      </c>
      <c r="F4" s="15" t="s">
        <v>137</v>
      </c>
    </row>
    <row r="5" spans="1:6">
      <c r="A5" s="15"/>
      <c r="B5" s="15"/>
      <c r="C5" s="15" t="s">
        <v>134</v>
      </c>
      <c r="D5" s="15"/>
      <c r="E5" s="15"/>
      <c r="F5" s="15"/>
    </row>
    <row r="6" spans="1:6">
      <c r="A6" s="15" t="s">
        <v>113</v>
      </c>
      <c r="B6" s="15" t="s">
        <v>112</v>
      </c>
      <c r="C6" s="15" t="s">
        <v>68</v>
      </c>
      <c r="D6" s="15" t="s">
        <v>138</v>
      </c>
      <c r="E6" s="15" t="s">
        <v>140</v>
      </c>
      <c r="F6" s="15" t="s">
        <v>68</v>
      </c>
    </row>
    <row r="7" spans="1:6">
      <c r="A7" s="15"/>
      <c r="B7" s="15"/>
      <c r="C7" s="15"/>
      <c r="D7" s="15" t="s">
        <v>139</v>
      </c>
      <c r="E7" s="15"/>
      <c r="F7" s="15"/>
    </row>
    <row r="8" spans="1:6" ht="18">
      <c r="A8" s="1"/>
      <c r="B8" s="1"/>
      <c r="C8" s="1"/>
      <c r="D8" s="1"/>
      <c r="E8" s="1"/>
      <c r="F8"/>
    </row>
    <row r="9" spans="1:6" ht="18">
      <c r="A9"/>
      <c r="B9"/>
      <c r="C9"/>
      <c r="D9"/>
      <c r="E9"/>
      <c r="F9"/>
    </row>
    <row r="10" spans="1:6" ht="18">
      <c r="A10"/>
      <c r="B10"/>
      <c r="C10"/>
      <c r="D10"/>
      <c r="E10"/>
      <c r="F10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開発の進め方・進捗</vt:lpstr>
      <vt:lpstr>①要件定義書</vt:lpstr>
      <vt:lpstr>②機能一覧</vt:lpstr>
      <vt:lpstr>③機能仕様書</vt:lpstr>
      <vt:lpstr>⑤クラス図</vt:lpstr>
      <vt:lpstr>未作成→</vt:lpstr>
      <vt:lpstr>④データ項目表</vt:lpstr>
      <vt:lpstr>⑥シーケンス図</vt:lpstr>
      <vt:lpstr>⑫テスト仕様書・結果報告書</vt:lpstr>
      <vt:lpstr>⑫想定結果</vt:lpstr>
      <vt:lpstr>ダッシュボード詳細</vt:lpstr>
      <vt:lpstr>⑧DB設計書</vt:lpstr>
      <vt:lpstr>⑦ER図</vt:lpstr>
      <vt:lpstr>⑨画面一覧</vt:lpstr>
      <vt:lpstr>⑩ワイヤーフレーム</vt:lpstr>
      <vt:lpstr>⑪画面設計書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木曽未央</dc:creator>
  <cp:lastModifiedBy>未央 木曽</cp:lastModifiedBy>
  <dcterms:created xsi:type="dcterms:W3CDTF">2015-06-05T18:19:34Z</dcterms:created>
  <dcterms:modified xsi:type="dcterms:W3CDTF">2025-12-20T08:15:44Z</dcterms:modified>
</cp:coreProperties>
</file>