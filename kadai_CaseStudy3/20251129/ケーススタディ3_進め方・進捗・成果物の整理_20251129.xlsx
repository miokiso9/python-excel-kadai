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6fdf3780c07c4590/ドキュメント/業務改善生成AI研修/SUMURAI DOJO/202511-12_ケーススタディ3_Pythonで業務を自動化するシステムを開発してみよう/"/>
    </mc:Choice>
  </mc:AlternateContent>
  <xr:revisionPtr revIDLastSave="1089" documentId="11_AD4D066CA252ABDACC1048DFA955F49473EEDF52" xr6:coauthVersionLast="47" xr6:coauthVersionMax="47" xr10:uidLastSave="{E04AE2CE-6DAF-43F0-BDD8-8DE699F1D925}"/>
  <bookViews>
    <workbookView xWindow="-38310" yWindow="-21720" windowWidth="38640" windowHeight="21120" activeTab="8" xr2:uid="{00000000-000D-0000-FFFF-FFFF00000000}"/>
  </bookViews>
  <sheets>
    <sheet name="開発の進め方・進捗" sheetId="1" r:id="rId1"/>
    <sheet name="①要件定義書" sheetId="2" r:id="rId2"/>
    <sheet name="②機能一覧" sheetId="3" r:id="rId3"/>
    <sheet name="③機能仕様書" sheetId="10" r:id="rId4"/>
    <sheet name="④データ項目表" sheetId="4" r:id="rId5"/>
    <sheet name="⑤クラス図" sheetId="5" r:id="rId6"/>
    <sheet name="⑥シーケンス図" sheetId="6" r:id="rId7"/>
    <sheet name="⑫テスト仕様書・結果報告書" sheetId="8" r:id="rId8"/>
    <sheet name="⑫想定結果" sheetId="15" r:id="rId9"/>
    <sheet name="今回作成不要→" sheetId="16" r:id="rId10"/>
    <sheet name="⑦ER図" sheetId="7" r:id="rId11"/>
    <sheet name="⑧DB設計書" sheetId="11" r:id="rId12"/>
    <sheet name="⑨画面一覧" sheetId="9" r:id="rId13"/>
    <sheet name="⑩ワイヤーフレーム" sheetId="12" r:id="rId14"/>
    <sheet name="⑪画面設計書" sheetId="13"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5" l="1"/>
  <c r="D11" i="15" s="1"/>
  <c r="E7" i="15"/>
  <c r="E11" i="15" s="1"/>
  <c r="F7" i="15"/>
  <c r="F11" i="15" s="1"/>
  <c r="G7" i="15"/>
  <c r="G11" i="15" s="1"/>
  <c r="G19" i="15" s="1"/>
  <c r="H7" i="15"/>
  <c r="H11" i="15" s="1"/>
  <c r="I7" i="15"/>
  <c r="I11" i="15" s="1"/>
  <c r="J7" i="15"/>
  <c r="J11" i="15" s="1"/>
  <c r="J19" i="15" s="1"/>
  <c r="I19" i="15" l="1"/>
  <c r="H19" i="15"/>
  <c r="F19" i="15"/>
  <c r="E19" i="15"/>
  <c r="D19" i="15"/>
  <c r="J16" i="15"/>
</calcChain>
</file>

<file path=xl/sharedStrings.xml><?xml version="1.0" encoding="utf-8"?>
<sst xmlns="http://schemas.openxmlformats.org/spreadsheetml/2006/main" count="576" uniqueCount="415">
  <si>
    <t>1. 要件の整理</t>
  </si>
  <si>
    <t>2. 各機能の詳細化</t>
  </si>
  <si>
    <t>3. データベース設計</t>
  </si>
  <si>
    <t>4. 画面設計</t>
  </si>
  <si>
    <t>5. 実装（プログラミング）</t>
  </si>
  <si>
    <t>6. テスト</t>
  </si>
  <si>
    <t>作るものの全体像を固める</t>
  </si>
  <si>
    <t>機能ごとの必要情報を整理</t>
  </si>
  <si>
    <t>工程</t>
  </si>
  <si>
    <t>目的</t>
  </si>
  <si>
    <t>作業内容</t>
  </si>
  <si>
    <t>成果物</t>
  </si>
  <si>
    <t>必要な場合のみDBを設計</t>
  </si>
  <si>
    <t>操作画面のイメージを作成</t>
  </si>
  <si>
    <t>設計内容をコード化</t>
  </si>
  <si>
    <t>仕様通りに動作するか確認</t>
  </si>
  <si>
    <t>項目</t>
  </si>
  <si>
    <t>内容記入欄</t>
  </si>
  <si>
    <t>プロジェクト名／システム名</t>
  </si>
  <si>
    <t>背景・目的</t>
  </si>
  <si>
    <t>対象ユーザー／利用シーン</t>
  </si>
  <si>
    <t>機能一覧（必須／任意）</t>
  </si>
  <si>
    <t>入力情報／出力情報</t>
  </si>
  <si>
    <t>非機能要件（性能、セキュリティ、運用条件など）</t>
  </si>
  <si>
    <t>機能概要</t>
  </si>
  <si>
    <t>データ型</t>
  </si>
  <si>
    <t>桁数／制約条件</t>
  </si>
  <si>
    <t>初期値／デフォルト値</t>
  </si>
  <si>
    <t>備考</t>
  </si>
  <si>
    <t>クラス名</t>
  </si>
  <si>
    <t>テーブル名</t>
  </si>
  <si>
    <t>カラム名</t>
  </si>
  <si>
    <t>入力項目（項目名・型・必須／任意）</t>
  </si>
  <si>
    <t>ボタン／リンク（名称・動作内容）</t>
  </si>
  <si>
    <t>画面遷移（遷移元／遷移先／条件）</t>
  </si>
  <si>
    <t>メッセージ表示（エラー／完了／警告）</t>
  </si>
  <si>
    <t>テストID／項目名</t>
  </si>
  <si>
    <t>テスト内容</t>
  </si>
  <si>
    <t>入力値（正常系／異常系）</t>
  </si>
  <si>
    <t>期待値</t>
  </si>
  <si>
    <t>実施者</t>
  </si>
  <si>
    <t>実施日</t>
  </si>
  <si>
    <t>結果（OK／NG）</t>
  </si>
  <si>
    <t>①要件定義書</t>
  </si>
  <si>
    <t>①要件定義書</t>
    <phoneticPr fontId="2"/>
  </si>
  <si>
    <t>④クラス図</t>
    <phoneticPr fontId="2"/>
  </si>
  <si>
    <t>⑤シーケンス図</t>
    <phoneticPr fontId="2"/>
  </si>
  <si>
    <t>⑥ER図</t>
    <phoneticPr fontId="2"/>
  </si>
  <si>
    <t>②機能一覧</t>
  </si>
  <si>
    <t>機能ID</t>
  </si>
  <si>
    <t>機能名</t>
  </si>
  <si>
    <t>詳細仕様リンク</t>
  </si>
  <si>
    <t>F001</t>
  </si>
  <si>
    <t>商品登録</t>
  </si>
  <si>
    <t>F002</t>
  </si>
  <si>
    <t>F003</t>
  </si>
  <si>
    <t>入力データ</t>
  </si>
  <si>
    <t>出力データ</t>
  </si>
  <si>
    <t>処理内容</t>
  </si>
  <si>
    <t>他機能との連携</t>
  </si>
  <si>
    <t>②機能一覧表</t>
    <rPh sb="3" eb="5">
      <t>イチラン</t>
    </rPh>
    <rPh sb="5" eb="6">
      <t>ヒョウ</t>
    </rPh>
    <phoneticPr fontId="2"/>
  </si>
  <si>
    <t>③機能仕様書</t>
  </si>
  <si>
    <t>③機能仕様書</t>
    <phoneticPr fontId="2"/>
  </si>
  <si>
    <t>④データ項目表</t>
  </si>
  <si>
    <t>④データ項目表</t>
    <phoneticPr fontId="2"/>
  </si>
  <si>
    <t>⑤クラス図</t>
  </si>
  <si>
    <t>⑥シーケンス図</t>
  </si>
  <si>
    <t>⑦ER図</t>
  </si>
  <si>
    <t>主キー</t>
  </si>
  <si>
    <t>外部キー</t>
  </si>
  <si>
    <t>関係（1対多／多対多など）</t>
  </si>
  <si>
    <t>User</t>
  </si>
  <si>
    <t>user_id</t>
  </si>
  <si>
    <t>-</t>
  </si>
  <si>
    <t>User 1対多 Order</t>
  </si>
  <si>
    <t>Product</t>
  </si>
  <si>
    <t>product_id</t>
  </si>
  <si>
    <t>Product 多対多 Order</t>
  </si>
  <si>
    <t>Order</t>
  </si>
  <si>
    <t>order_id</t>
  </si>
  <si>
    <t>user_id, product_id</t>
  </si>
  <si>
    <t>Order 多対1 User／Order 多対多 Product</t>
  </si>
  <si>
    <t>制約（PK／FK／NOT NULL／UNIQUEなど）</t>
  </si>
  <si>
    <t>INT</t>
  </si>
  <si>
    <t>PK, AUTO_INCREMENT</t>
  </si>
  <si>
    <t>ユーザー識別子</t>
  </si>
  <si>
    <t>name</t>
  </si>
  <si>
    <t>VARCHAR(50)</t>
  </si>
  <si>
    <t>NOT NULL</t>
  </si>
  <si>
    <t>ユーザー名</t>
  </si>
  <si>
    <t>email</t>
  </si>
  <si>
    <t>VARCHAR(100)</t>
  </si>
  <si>
    <t>UNIQUE, NOT NULL</t>
  </si>
  <si>
    <t>メールアドレス</t>
  </si>
  <si>
    <t>商品識別子</t>
  </si>
  <si>
    <t>商品名</t>
  </si>
  <si>
    <t>price</t>
  </si>
  <si>
    <t>DECIMAL(10,2)</t>
  </si>
  <si>
    <t>商品価格</t>
  </si>
  <si>
    <t>注文識別子</t>
  </si>
  <si>
    <t>FK → User.user_id</t>
  </si>
  <si>
    <t>注文者</t>
  </si>
  <si>
    <t>FK → Product.product_id</t>
  </si>
  <si>
    <t>注文商品</t>
  </si>
  <si>
    <t>quantity</t>
  </si>
  <si>
    <t>注文数量</t>
  </si>
  <si>
    <t>⑧DB設計書（詳細仕様）</t>
    <phoneticPr fontId="2"/>
  </si>
  <si>
    <t>⑧テスト仕様書・結果報告書</t>
    <rPh sb="8" eb="10">
      <t>ケッカ</t>
    </rPh>
    <rPh sb="10" eb="13">
      <t>ホウコクショ</t>
    </rPh>
    <phoneticPr fontId="2"/>
  </si>
  <si>
    <t>⑧DB設計書</t>
  </si>
  <si>
    <t>画面ID</t>
  </si>
  <si>
    <t>画面名</t>
  </si>
  <si>
    <t>概要</t>
  </si>
  <si>
    <t>遷移元</t>
  </si>
  <si>
    <t>遷移先</t>
  </si>
  <si>
    <t>S001</t>
  </si>
  <si>
    <t>ログイン画面</t>
  </si>
  <si>
    <t>ユーザー認証を行う</t>
  </si>
  <si>
    <t>メインメニュー</t>
  </si>
  <si>
    <t>S002</t>
  </si>
  <si>
    <t>機能選択を行う</t>
  </si>
  <si>
    <t>商品登録／検索／注文画面</t>
  </si>
  <si>
    <t>S003</t>
  </si>
  <si>
    <t>商品登録画面</t>
  </si>
  <si>
    <t>商品情報を入力・保存</t>
  </si>
  <si>
    <t>登録完了画面</t>
  </si>
  <si>
    <t>S004</t>
  </si>
  <si>
    <t>商品検索画面</t>
  </si>
  <si>
    <t>商品を条件で検索</t>
  </si>
  <si>
    <t>検索結果画面</t>
  </si>
  <si>
    <t>S005</t>
  </si>
  <si>
    <t>注文画面</t>
  </si>
  <si>
    <t>商品を注文する</t>
  </si>
  <si>
    <t>注文完了画面</t>
  </si>
  <si>
    <t>レイアウト図（貼付欄）</t>
  </si>
  <si>
    <t>主な要素（入力欄／ボタン／リンク）</t>
  </si>
  <si>
    <t>（図を貼り付け）</t>
  </si>
  <si>
    <t>ユーザーID入力欄／パスワード入力欄／ログインボタン</t>
  </si>
  <si>
    <t>商品登録ボタン／商品検索ボタン／注文ボタン</t>
  </si>
  <si>
    <t>ユーザーID（文字列・必須）</t>
  </si>
  <si>
    <t>パスワード（文字列・必須）</t>
  </si>
  <si>
    <t>ログインボタン（認証処理呼び出し）</t>
  </si>
  <si>
    <t>- → メインメニュー（認証成功時）</t>
  </si>
  <si>
    <t>エラー：認証失敗時「IDまたはパスワードが違います」</t>
  </si>
  <si>
    <t>商品登録ボタン（登録画面へ遷移）</t>
  </si>
  <si>
    <t>商品検索ボタン（検索画面へ遷移）</t>
  </si>
  <si>
    <t>ログイン画面 → メインメニュー</t>
  </si>
  <si>
    <t>⑨画面一覧</t>
  </si>
  <si>
    <t>⑨画面一覧</t>
    <phoneticPr fontId="2"/>
  </si>
  <si>
    <t>⑩ワイヤーフレーム（ラフ図）</t>
    <phoneticPr fontId="2"/>
  </si>
  <si>
    <t>⑪画面設計書（詳細仕様）</t>
    <phoneticPr fontId="2"/>
  </si>
  <si>
    <t>⑩ワイヤーフレーム</t>
  </si>
  <si>
    <t>⑪画面設計書</t>
  </si>
  <si>
    <t>ソースコード</t>
    <phoneticPr fontId="2"/>
  </si>
  <si>
    <t>⑫テスト仕様書・結果報告書</t>
  </si>
  <si>
    <t>作成目的</t>
    <rPh sb="0" eb="2">
      <t>サクセイ</t>
    </rPh>
    <rPh sb="2" eb="4">
      <t>モクテキ</t>
    </rPh>
    <phoneticPr fontId="2"/>
  </si>
  <si>
    <t>システムの目的・対象・機能を明確にするため</t>
  </si>
  <si>
    <t>必要な機能を漏れなく洗い出すため</t>
  </si>
  <si>
    <t>各機能の処理内容・入出力・連携を定義するため</t>
  </si>
  <si>
    <t>各機能で扱うデータの型・制約を整理するため</t>
  </si>
  <si>
    <t>データ構造とクラス間の関係を可視化するため</t>
  </si>
  <si>
    <t>処理の流れとオブジェクト間のやりとりを明確にするため</t>
  </si>
  <si>
    <t>テーブル構造と関係性を図で表すため</t>
  </si>
  <si>
    <t>テーブルの詳細仕様（カラム・型・制約）を定義するため</t>
  </si>
  <si>
    <t>システムに必要な画面を整理し、全体構成を把握するため</t>
  </si>
  <si>
    <t>各画面のレイアウトや要素配置をラフに設計するため</t>
  </si>
  <si>
    <t>入力項目・ボタン・遷移・メッセージなどの詳細仕様を定義するため</t>
  </si>
  <si>
    <t>- 機能一覧を作成
- 画面ごとの操作内容を明確化
- 入力情報・出力情報を定義</t>
    <phoneticPr fontId="2"/>
  </si>
  <si>
    <t>- 必要なデータ（変数）を決定
- 他機能との情報の受け渡しを定義
- メソッドの引数・戻り値を決定</t>
    <phoneticPr fontId="2"/>
  </si>
  <si>
    <t>- 必要なテーブル洗い出し
- 各テーブルの属性（カラム）を決定
- 主キー・外部キーを検討</t>
    <phoneticPr fontId="2"/>
  </si>
  <si>
    <t>- 画面レイアウト設計
- 入力項目・ボタンを決定
- 画面遷移図を作成</t>
    <phoneticPr fontId="2"/>
  </si>
  <si>
    <t>- 機能の中身をプログラミング
- 画面とDBを組み合わせて実装</t>
    <phoneticPr fontId="2"/>
  </si>
  <si>
    <t>- 単体テスト（省略可）
- 結合テスト（必須）
- 正常系・異常系の確認
- テスト仕様書作成</t>
    <phoneticPr fontId="2"/>
  </si>
  <si>
    <t>テスト項目・入力値・期待値を整理し、検証計画を立てるため
テスト実施結果と不具合を記録し、品質を確認するため</t>
    <phoneticPr fontId="2"/>
  </si>
  <si>
    <t>T001</t>
  </si>
  <si>
    <t>登録成功</t>
  </si>
  <si>
    <t>OK</t>
  </si>
  <si>
    <t>商品名＝"りんご"
価格＝100</t>
    <phoneticPr fontId="2"/>
  </si>
  <si>
    <t>図貼付</t>
    <rPh sb="0" eb="1">
      <t>ズ</t>
    </rPh>
    <rPh sb="1" eb="3">
      <t>チョウフ</t>
    </rPh>
    <phoneticPr fontId="2"/>
  </si>
  <si>
    <t>（ここにER図を貼付）</t>
    <phoneticPr fontId="2"/>
  </si>
  <si>
    <t>商品注文から在庫管理までを自動化するシステム</t>
    <phoneticPr fontId="2"/>
  </si>
  <si>
    <t>野菜の卸売業を行っている会社があるとします。その会社では、毎日様々なスーパーマーケットから、翌日分の野菜の注文を受けています。それをExcelの在庫表で管理していますが、あるしきい値を在庫表が下回ったら、取引先の農家へと発注をかけるという業務を毎日行っています。この一連の業務は取引先や顧客が増えたことにより時間がかかってしまい、自動化したい。</t>
    <phoneticPr fontId="2"/>
  </si>
  <si>
    <t>社内スタッフ（商品担当者）</t>
    <phoneticPr fontId="2"/>
  </si>
  <si>
    <t>N/A</t>
    <phoneticPr fontId="2"/>
  </si>
  <si>
    <t>進捗</t>
    <rPh sb="0" eb="2">
      <t>シンチョク</t>
    </rPh>
    <phoneticPr fontId="2"/>
  </si>
  <si>
    <t>未着手</t>
  </si>
  <si>
    <t>作業不要</t>
  </si>
  <si>
    <t>完了</t>
  </si>
  <si>
    <t>注文集計</t>
  </si>
  <si>
    <t>注文集計</t>
    <phoneticPr fontId="2"/>
  </si>
  <si>
    <t>各店から届く注文情報をまとめる</t>
    <phoneticPr fontId="2"/>
  </si>
  <si>
    <t>F004</t>
  </si>
  <si>
    <t>F005</t>
  </si>
  <si>
    <t>F006</t>
  </si>
  <si>
    <t>在庫確認</t>
    <phoneticPr fontId="2"/>
  </si>
  <si>
    <t>現在の在庫状況を確認する</t>
    <phoneticPr fontId="2"/>
  </si>
  <si>
    <t>発注判定</t>
  </si>
  <si>
    <t>発注判定</t>
    <phoneticPr fontId="2"/>
  </si>
  <si>
    <t>発注が必要なアイテムを特定する</t>
    <phoneticPr fontId="2"/>
  </si>
  <si>
    <t>発注準備</t>
  </si>
  <si>
    <t>発注準備</t>
    <phoneticPr fontId="2"/>
  </si>
  <si>
    <t>発注のためのメール本文を作成する</t>
    <phoneticPr fontId="2"/>
  </si>
  <si>
    <t>発注</t>
  </si>
  <si>
    <t>発注</t>
    <phoneticPr fontId="2"/>
  </si>
  <si>
    <t>在庫不足の商品をメーカーに発注する</t>
    <phoneticPr fontId="2"/>
  </si>
  <si>
    <t>在庫更新</t>
  </si>
  <si>
    <t>在庫更新</t>
    <phoneticPr fontId="2"/>
  </si>
  <si>
    <t>在庫状況を最新の情報に更新する</t>
    <phoneticPr fontId="2"/>
  </si>
  <si>
    <t>③機能仕様書:F001</t>
    <phoneticPr fontId="2"/>
  </si>
  <si>
    <t>③機能仕様書:F002</t>
    <phoneticPr fontId="2"/>
  </si>
  <si>
    <t>③機能仕様書:F003</t>
    <phoneticPr fontId="2"/>
  </si>
  <si>
    <t>③機能仕様書:F004</t>
  </si>
  <si>
    <t>③機能仕様書:F005</t>
  </si>
  <si>
    <t>③機能仕様書:F006</t>
  </si>
  <si>
    <t>トマト</t>
  </si>
  <si>
    <t>キャベツ</t>
  </si>
  <si>
    <t>レタス</t>
  </si>
  <si>
    <t>白菜</t>
  </si>
  <si>
    <t>ほうれん草</t>
  </si>
  <si>
    <t>ニンジン</t>
  </si>
  <si>
    <t>しきい値</t>
  </si>
  <si>
    <t>追加量</t>
  </si>
  <si>
    <t>メール本文</t>
    <rPh sb="3" eb="5">
      <t>ホンブン</t>
    </rPh>
    <phoneticPr fontId="2"/>
  </si>
  <si>
    <t>①メールの送信はMailtrapという無料サービスを用いて行う
②こちらの教材の以下の節を実施してMailtrapの準備をする
・Mailtrapの会員登録
・SMTPサーバー情報の取得</t>
    <phoneticPr fontId="2"/>
  </si>
  <si>
    <t>・発注準備機能
-メール本文</t>
    <rPh sb="3" eb="5">
      <t>ジュンビ</t>
    </rPh>
    <rPh sb="12" eb="14">
      <t>ホンブン</t>
    </rPh>
    <phoneticPr fontId="2"/>
  </si>
  <si>
    <t>・発注準備機能から渡されたメール本文をもとに、メールを作成する。</t>
    <rPh sb="1" eb="7">
      <t>ハッチュウジュンビキノウ</t>
    </rPh>
    <rPh sb="9" eb="10">
      <t>ワタ</t>
    </rPh>
    <rPh sb="16" eb="18">
      <t>ホンブン</t>
    </rPh>
    <rPh sb="27" eb="29">
      <t>サクセイ</t>
    </rPh>
    <phoneticPr fontId="2"/>
  </si>
  <si>
    <t>メール</t>
    <phoneticPr fontId="2"/>
  </si>
  <si>
    <t>①”inventory.xlsx”の最下行へ、現在の日付で最新の在庫を追加する
最新の在庫は「最新の野菜の在庫情報」ー「各野菜の合計注文数」とする
②”inventory.xlsx”を上書きして保存する</t>
    <phoneticPr fontId="2"/>
  </si>
  <si>
    <t>・発注判定機能で計算された最新の在庫数-合計注文数を引数とする</t>
    <rPh sb="1" eb="7">
      <t>ハッチュウハンテイキノウ</t>
    </rPh>
    <rPh sb="8" eb="10">
      <t>ケイサン</t>
    </rPh>
    <rPh sb="13" eb="15">
      <t>サイシン</t>
    </rPh>
    <rPh sb="16" eb="19">
      <t>ザイコスウ</t>
    </rPh>
    <rPh sb="20" eb="25">
      <t>ゴウケイチュウモンスウ</t>
    </rPh>
    <rPh sb="26" eb="28">
      <t>ヒキスウ</t>
    </rPh>
    <phoneticPr fontId="2"/>
  </si>
  <si>
    <t>自動処理</t>
    <rPh sb="0" eb="4">
      <t>ジドウショリ</t>
    </rPh>
    <phoneticPr fontId="2"/>
  </si>
  <si>
    <t>-</t>
    <phoneticPr fontId="2"/>
  </si>
  <si>
    <t>■これらの作業を連続して自動で行うスクリプトを作成する
・スクリプトの定期実行はWindowsならUI. Vision RPAとタスクスケジューラを使う</t>
    <phoneticPr fontId="2"/>
  </si>
  <si>
    <t>これらの作業を連続して自動で行うスクリプトを作成する</t>
    <phoneticPr fontId="2"/>
  </si>
  <si>
    <t>③機能仕様書:F007</t>
    <phoneticPr fontId="2"/>
  </si>
  <si>
    <t>役割</t>
  </si>
  <si>
    <t>主な属性</t>
  </si>
  <si>
    <t>主なメソッド</t>
  </si>
  <si>
    <t>関連クラス</t>
  </si>
  <si>
    <t>OrderAggregator</t>
  </si>
  <si>
    <t>PurchasePlanner</t>
  </si>
  <si>
    <t>InventoryManager</t>
  </si>
  <si>
    <t>在庫管理</t>
  </si>
  <si>
    <t>ThresholdLoader</t>
  </si>
  <si>
    <t>しきい値取得</t>
  </si>
  <si>
    <t>load_thresholds()</t>
  </si>
  <si>
    <t>EmailComposer</t>
  </si>
  <si>
    <t>メール作成</t>
  </si>
  <si>
    <t>order_items</t>
  </si>
  <si>
    <t>compose_email()</t>
  </si>
  <si>
    <t>EmailSender</t>
  </si>
  <si>
    <t>メール送信</t>
  </si>
  <si>
    <t>smtp_config</t>
  </si>
  <si>
    <t>send_email()</t>
  </si>
  <si>
    <t>PlantUML対応エディタ↓に貼り付けてクラス図を表示する</t>
    <phoneticPr fontId="2"/>
  </si>
  <si>
    <t>https://www.plantuml.com/plantuml/uml/SyfFKj2rKt3CoKnELR1Io4ZDoSa700001</t>
    <phoneticPr fontId="2"/>
  </si>
  <si>
    <t>シーケンス図を生成AIで作成</t>
    <rPh sb="5" eb="6">
      <t>ズ</t>
    </rPh>
    <rPh sb="7" eb="9">
      <t>セイセイ</t>
    </rPh>
    <rPh sb="12" eb="14">
      <t>サクセイ</t>
    </rPh>
    <phoneticPr fontId="2"/>
  </si>
  <si>
    <t>PlantUML対応エディタ↓に貼り付けてシーケンス図を表示する</t>
    <phoneticPr fontId="2"/>
  </si>
  <si>
    <t>F003</t>
    <phoneticPr fontId="2"/>
  </si>
  <si>
    <t>F007</t>
  </si>
  <si>
    <t>F008</t>
  </si>
  <si>
    <t>しきい値確認</t>
    <rPh sb="3" eb="4">
      <t>チ</t>
    </rPh>
    <rPh sb="4" eb="6">
      <t>カクニン</t>
    </rPh>
    <phoneticPr fontId="2"/>
  </si>
  <si>
    <t>③機能仕様書:F008</t>
    <phoneticPr fontId="2"/>
  </si>
  <si>
    <t>作業中</t>
  </si>
  <si>
    <t>■入力情報
・注文情報
・在庫情報
・発注のしきい値・追加量
■出力情報
・メーカーへの発注メール
・在庫情報（更新後）</t>
    <rPh sb="1" eb="5">
      <t>ニュウリョクジョウホウ</t>
    </rPh>
    <rPh sb="7" eb="9">
      <t>チュウモン</t>
    </rPh>
    <rPh sb="9" eb="11">
      <t>ジョウホウ</t>
    </rPh>
    <rPh sb="13" eb="17">
      <t>ザイコジョウホウ</t>
    </rPh>
    <rPh sb="19" eb="21">
      <t>ハッチュウ</t>
    </rPh>
    <rPh sb="25" eb="26">
      <t>チ</t>
    </rPh>
    <rPh sb="27" eb="30">
      <t>ツイカリョウ</t>
    </rPh>
    <rPh sb="33" eb="37">
      <t>シュツリョクジョウホウ</t>
    </rPh>
    <rPh sb="45" eb="47">
      <t>ハッチュウ</t>
    </rPh>
    <rPh sb="52" eb="56">
      <t>ザイコジョウホウ</t>
    </rPh>
    <rPh sb="57" eb="60">
      <t>コウシンゴ</t>
    </rPh>
    <phoneticPr fontId="2"/>
  </si>
  <si>
    <t>1.注文集計
・各店から届く注文情報をまとめる
2.在庫確認
・現在の在庫状況を確認する
3.しきい値確認
・発注のしきい値、追加量を確認する
4.発注判定
・発注が必要なアイテムを特定する
5.発注準備
・発注のためのメール本文を作成する
6.発注
・在庫不足の商品をメーカーに発注する
7.在庫更新
・在庫状況を最新の情報に更新する
8.自動処理
・これらの作業を連続して自動で行うスクリプトを作成する</t>
    <rPh sb="27" eb="29">
      <t>ザイコ</t>
    </rPh>
    <rPh sb="29" eb="31">
      <t>カクニン</t>
    </rPh>
    <rPh sb="65" eb="67">
      <t>ツイカ</t>
    </rPh>
    <rPh sb="77" eb="79">
      <t>ハッチュウ</t>
    </rPh>
    <rPh sb="79" eb="81">
      <t>ハンテイ</t>
    </rPh>
    <rPh sb="104" eb="106">
      <t>ジュンビ</t>
    </rPh>
    <rPh sb="153" eb="155">
      <t>ザイコ</t>
    </rPh>
    <rPh sb="155" eb="157">
      <t>コウシン</t>
    </rPh>
    <rPh sb="178" eb="182">
      <t>ジドウショリ</t>
    </rPh>
    <phoneticPr fontId="2"/>
  </si>
  <si>
    <t>発注のしきい値、追加量を確認する</t>
    <rPh sb="6" eb="7">
      <t>チ</t>
    </rPh>
    <rPh sb="8" eb="10">
      <t>ツイカ</t>
    </rPh>
    <rPh sb="10" eb="11">
      <t>リョウ</t>
    </rPh>
    <rPh sb="12" eb="14">
      <t>カクニン</t>
    </rPh>
    <phoneticPr fontId="2"/>
  </si>
  <si>
    <t>項目名</t>
  </si>
  <si>
    <t>・order_◯_YYYYMMDD.xlsx
-商品名、注文数</t>
    <rPh sb="28" eb="31">
      <t>チュウモンスウ</t>
    </rPh>
    <phoneticPr fontId="2"/>
  </si>
  <si>
    <t>注文日ごとの商品別注文数（合計）</t>
    <rPh sb="0" eb="3">
      <t>チュウモンビ</t>
    </rPh>
    <rPh sb="6" eb="8">
      <t>ショウヒン</t>
    </rPh>
    <rPh sb="8" eb="9">
      <t>ベツ</t>
    </rPh>
    <rPh sb="9" eb="12">
      <t>チュウモンスウ</t>
    </rPh>
    <rPh sb="13" eb="15">
      <t>ゴウケイ</t>
    </rPh>
    <phoneticPr fontId="2"/>
  </si>
  <si>
    <t>指定フォルダ内の注文ファイル（order_*.xlsx）を読み込み、注文日ごとに商品別の注文数を集計する</t>
    <phoneticPr fontId="2"/>
  </si>
  <si>
    <t>・inventory.xlsx
-日付、商品名、在庫数</t>
    <rPh sb="17" eb="19">
      <t>ヒヅケ</t>
    </rPh>
    <rPh sb="20" eb="23">
      <t>ショウヒンメイ</t>
    </rPh>
    <rPh sb="24" eb="27">
      <t>ザイコスウ</t>
    </rPh>
    <phoneticPr fontId="2"/>
  </si>
  <si>
    <t>商品名、在庫数（最新）</t>
    <rPh sb="2" eb="3">
      <t>メイ</t>
    </rPh>
    <rPh sb="4" eb="7">
      <t>ザイコスウ</t>
    </rPh>
    <rPh sb="8" eb="10">
      <t>サイシン</t>
    </rPh>
    <phoneticPr fontId="2"/>
  </si>
  <si>
    <t>在庫表（inventory.xlsx）の最終行を抽出し、最新の在庫情報を取得する</t>
    <phoneticPr fontId="2"/>
  </si>
  <si>
    <t>・発注判定機能に商品名、在庫数（最新）を渡す</t>
    <phoneticPr fontId="2"/>
  </si>
  <si>
    <t>・発注判定機能に商品名,注文数（合計）を渡す</t>
    <rPh sb="0" eb="4">
      <t>ハッチュウハンテイ</t>
    </rPh>
    <rPh sb="4" eb="6">
      <t>キノウ</t>
    </rPh>
    <rPh sb="7" eb="9">
      <t>ショウヒン</t>
    </rPh>
    <rPh sb="10" eb="11">
      <t>メイ</t>
    </rPh>
    <rPh sb="19" eb="20">
      <t>ワタ</t>
    </rPh>
    <phoneticPr fontId="2"/>
  </si>
  <si>
    <t>・pickup.xlsx
-商品名、しきい値、発注数</t>
    <rPh sb="14" eb="16">
      <t>ショウヒン</t>
    </rPh>
    <rPh sb="21" eb="22">
      <t>チ</t>
    </rPh>
    <rPh sb="23" eb="25">
      <t>ハッチュウ</t>
    </rPh>
    <phoneticPr fontId="2"/>
  </si>
  <si>
    <t>・発注判定
商品名、在庫数（最新）、注文数（合計）</t>
    <rPh sb="1" eb="5">
      <t>ハッチュウハンテイ</t>
    </rPh>
    <rPh sb="10" eb="13">
      <t>ザイコスウ</t>
    </rPh>
    <rPh sb="14" eb="16">
      <t>サイシン</t>
    </rPh>
    <rPh sb="18" eb="21">
      <t>チュウモンスウ</t>
    </rPh>
    <rPh sb="22" eb="24">
      <t>ゴウケイ</t>
    </rPh>
    <phoneticPr fontId="2"/>
  </si>
  <si>
    <t>商品名、しきい値、追加量</t>
    <rPh sb="0" eb="2">
      <t>ショウヒン</t>
    </rPh>
    <rPh sb="7" eb="8">
      <t>チ</t>
    </rPh>
    <rPh sb="9" eb="12">
      <t>ツイカリョウ</t>
    </rPh>
    <phoneticPr fontId="2"/>
  </si>
  <si>
    <t>発注基準となるしきい値と追加量をpickup.xlsxから読み込み、商品ごとの辞書形式で取得する</t>
    <rPh sb="0" eb="2">
      <t>ハッチュウ</t>
    </rPh>
    <rPh sb="2" eb="4">
      <t>キジュン</t>
    </rPh>
    <rPh sb="10" eb="11">
      <t>チ</t>
    </rPh>
    <rPh sb="12" eb="14">
      <t>ツイカ</t>
    </rPh>
    <rPh sb="14" eb="15">
      <t>リョウ</t>
    </rPh>
    <rPh sb="29" eb="30">
      <t>ヨ</t>
    </rPh>
    <rPh sb="31" eb="32">
      <t>コ</t>
    </rPh>
    <rPh sb="34" eb="36">
      <t>ショウヒン</t>
    </rPh>
    <rPh sb="39" eb="41">
      <t>ジショ</t>
    </rPh>
    <rPh sb="41" eb="43">
      <t>ケイシキ</t>
    </rPh>
    <rPh sb="44" eb="46">
      <t>シュトク</t>
    </rPh>
    <phoneticPr fontId="2"/>
  </si>
  <si>
    <t>・発注判定機能に商品名、しきい値、追加量を渡す</t>
    <phoneticPr fontId="2"/>
  </si>
  <si>
    <t>・注文集計機能
-商品名、注文数（合計）
・在庫確認機能
-商品名、在庫数（最新)
・しきい値確認
-商品名、しきい値、追加量</t>
    <rPh sb="1" eb="5">
      <t>チュウモンシュウケイ</t>
    </rPh>
    <rPh sb="5" eb="7">
      <t>キノウ</t>
    </rPh>
    <rPh sb="13" eb="16">
      <t>チュウモンスウ</t>
    </rPh>
    <rPh sb="17" eb="19">
      <t>ゴウケイ</t>
    </rPh>
    <rPh sb="23" eb="27">
      <t>ザイコカクニン</t>
    </rPh>
    <rPh sb="27" eb="29">
      <t>キノウ</t>
    </rPh>
    <rPh sb="31" eb="33">
      <t>ショウヒン</t>
    </rPh>
    <rPh sb="35" eb="37">
      <t>ザイコ</t>
    </rPh>
    <rPh sb="39" eb="41">
      <t>サイシン</t>
    </rPh>
    <rPh sb="48" eb="49">
      <t>チ</t>
    </rPh>
    <rPh sb="49" eb="51">
      <t>カクニン</t>
    </rPh>
    <rPh sb="53" eb="55">
      <t>ショウヒン</t>
    </rPh>
    <rPh sb="60" eb="61">
      <t>チ</t>
    </rPh>
    <phoneticPr fontId="2"/>
  </si>
  <si>
    <t>・発注判定機能
-商品名、追加量</t>
    <rPh sb="1" eb="5">
      <t>ハッチュウハンテイ</t>
    </rPh>
    <rPh sb="5" eb="7">
      <t>キノウ</t>
    </rPh>
    <phoneticPr fontId="2"/>
  </si>
  <si>
    <t>■全野菜の在庫状況
商品名、在庫数、注文数、残在庫数、しきい値、追加量（全商品）
■発注対象
商品名、追加量（発注対象のみ）</t>
    <rPh sb="1" eb="2">
      <t>ゼン</t>
    </rPh>
    <rPh sb="2" eb="4">
      <t>ヤサイ</t>
    </rPh>
    <rPh sb="5" eb="9">
      <t>ザイコジョウキョウ</t>
    </rPh>
    <rPh sb="10" eb="13">
      <t>ショウヒンメイ</t>
    </rPh>
    <rPh sb="14" eb="17">
      <t>ザイコスウ</t>
    </rPh>
    <rPh sb="18" eb="21">
      <t>チュウモンスウ</t>
    </rPh>
    <rPh sb="22" eb="23">
      <t>ザン</t>
    </rPh>
    <rPh sb="23" eb="26">
      <t>ザイコスウ</t>
    </rPh>
    <rPh sb="30" eb="31">
      <t>チ</t>
    </rPh>
    <rPh sb="32" eb="34">
      <t>ツイカ</t>
    </rPh>
    <rPh sb="34" eb="35">
      <t>リョウ</t>
    </rPh>
    <rPh sb="36" eb="37">
      <t>ゼン</t>
    </rPh>
    <rPh sb="37" eb="39">
      <t>ショウヒン</t>
    </rPh>
    <rPh sb="43" eb="47">
      <t>ハッチュウタイショウ</t>
    </rPh>
    <phoneticPr fontId="2"/>
  </si>
  <si>
    <t>最新の在庫数と注文数から残在庫数を計算し、しきい値と比較して発注対象を判定する。
全商品について在庫状況を一覧表示し、発注対象のみ追加量を抽出する</t>
    <phoneticPr fontId="2"/>
  </si>
  <si>
    <t>・注文集計機能、在庫確認機能、しきい値確認機能から渡された情報を統合して判定する
・発注準備機能に商品名、追加量を渡す。</t>
    <rPh sb="43" eb="47">
      <t>ハッチュウジュンビ</t>
    </rPh>
    <rPh sb="47" eb="49">
      <t>キノウ</t>
    </rPh>
    <rPh sb="50" eb="53">
      <t>ショウヒンメイ</t>
    </rPh>
    <rPh sb="58" eb="59">
      <t>ワタ</t>
    </rPh>
    <phoneticPr fontId="2"/>
  </si>
  <si>
    <t>・発注準備機能から渡された商品名、追加量をもとにメールを作成する
・発注機能にメール本文を渡す。</t>
    <rPh sb="9" eb="10">
      <t>ワタ</t>
    </rPh>
    <rPh sb="28" eb="30">
      <t>サクセイ</t>
    </rPh>
    <rPh sb="34" eb="38">
      <t>ハッチュウキノウ</t>
    </rPh>
    <rPh sb="42" eb="44">
      <t>ホンブン</t>
    </rPh>
    <rPh sb="45" eb="46">
      <t>ワタ</t>
    </rPh>
    <phoneticPr fontId="2"/>
  </si>
  <si>
    <t>自動処理</t>
  </si>
  <si>
    <t>✅ データ項目表 修正案（F005〜F008）</t>
  </si>
  <si>
    <t>引数名</t>
  </si>
  <si>
    <t>メール本文</t>
  </si>
  <si>
    <t>mail_body</t>
  </si>
  <si>
    <t>文字列</t>
  </si>
  <si>
    <t>任意</t>
  </si>
  <si>
    <t>空文字</t>
  </si>
  <si>
    <t>発注準備機能で生成される本文（テンプレート形式）</t>
  </si>
  <si>
    <t>SMTP情報</t>
  </si>
  <si>
    <t>辞書</t>
  </si>
  <si>
    <t>必須キーあり</t>
  </si>
  <si>
    <t>Mailtrapから取得</t>
  </si>
  <si>
    <t>メール送信に必要な認証情報</t>
  </si>
  <si>
    <t>送信結果</t>
  </si>
  <si>
    <t>send_result</t>
  </si>
  <si>
    <t>真偽値</t>
  </si>
  <si>
    <t>True/False</t>
  </si>
  <si>
    <t>メール送信の成否</t>
  </si>
  <si>
    <t>更新日付</t>
  </si>
  <si>
    <t>update_date</t>
  </si>
  <si>
    <t>日付</t>
  </si>
  <si>
    <t>YYYY-MM-DD形式</t>
  </si>
  <si>
    <t>実行日</t>
  </si>
  <si>
    <t>在庫更新時に記録される日付</t>
  </si>
  <si>
    <t>処理ログ</t>
  </si>
  <si>
    <t>process_log</t>
  </si>
  <si>
    <t>自動処理の実行結果やエラー記録</t>
  </si>
  <si>
    <t>発注対象の野菜と追加量をもとに、メール本文をテンプレート形式で生成する。本文には商品名と発注数を含める</t>
    <phoneticPr fontId="2"/>
  </si>
  <si>
    <t>更新後の在庫表（inventory.xlsx）</t>
    <phoneticPr fontId="2"/>
  </si>
  <si>
    <t>・全機能を順番に呼び出す</t>
    <phoneticPr fontId="2"/>
  </si>
  <si>
    <t>item_name</t>
  </si>
  <si>
    <t>野菜名（例：トマト、キャベツなど）</t>
  </si>
  <si>
    <t>注文数</t>
  </si>
  <si>
    <t>order_qty</t>
  </si>
  <si>
    <t>整数</t>
  </si>
  <si>
    <t>0以上</t>
  </si>
  <si>
    <t>単一注文ファイル内の数量</t>
  </si>
  <si>
    <t>注文日</t>
  </si>
  <si>
    <t>order_date</t>
  </si>
  <si>
    <t>ファイル名から抽出</t>
  </si>
  <si>
    <t>ファイル名（例：order_◯_20230524.xlsx）より取得</t>
  </si>
  <si>
    <t>注文数（合計）</t>
  </si>
  <si>
    <t>total_orders</t>
  </si>
  <si>
    <t>複数注文ファイルを集計した合計</t>
  </si>
  <si>
    <t>在庫数（最新）</t>
  </si>
  <si>
    <t>stock_qty</t>
  </si>
  <si>
    <t>inventory.xlsxの最終行から取得</t>
  </si>
  <si>
    <t>残在庫数</t>
  </si>
  <si>
    <t>remaining_qty</t>
  </si>
  <si>
    <t>負の値も許容</t>
  </si>
  <si>
    <t>在庫数 − 注文数</t>
  </si>
  <si>
    <t>発注判定の基準となる</t>
  </si>
  <si>
    <t>threshold</t>
  </si>
  <si>
    <t>pickup.xlsxより取得</t>
  </si>
  <si>
    <t>addition_qty</t>
  </si>
  <si>
    <t>発注対象となった場合に使用</t>
  </si>
  <si>
    <t>関連機能</t>
  </si>
  <si>
    <t>属性の説明</t>
  </si>
  <si>
    <t>メソッドの説明</t>
  </si>
  <si>
    <t>summarize_by_date()</t>
  </si>
  <si>
    <t>注文ファイルを読み込み、注文日ごとに商品別注文数を集計する</t>
  </si>
  <si>
    <t>file_path</t>
  </si>
  <si>
    <t>在庫ファイル（inventory.xlsx）のパス</t>
  </si>
  <si>
    <t>get_latest_inventory()</t>
  </si>
  <si>
    <t>在庫表の最終行を取得し、最新の在庫情報を返す</t>
  </si>
  <si>
    <t>PurchasePlanner, InventoryUpdater</t>
  </si>
  <si>
    <t>しきい値ファイル（pickup.xlsx）のパス</t>
  </si>
  <si>
    <t>しきい値と追加量を辞書形式で取得する</t>
  </si>
  <si>
    <t>OrderAggregator, InventoryManager, ThresholdLoader, EmailComposer, InventoryUpdater</t>
  </si>
  <si>
    <t>発注対象の商品をもとにメール本文をテンプレート形式で生成する</t>
  </si>
  <si>
    <t>PurchasePlanner, EmailSender</t>
  </si>
  <si>
    <t>MailtrapなどのSMTP設定情報</t>
  </si>
  <si>
    <t>メール本文をSMTP経由で送信する</t>
  </si>
  <si>
    <t>InventoryUpdater</t>
  </si>
  <si>
    <t>在庫ファイルのパス</t>
  </si>
  <si>
    <t>update_inventory()</t>
  </si>
  <si>
    <t>現在の日付と残在庫数をinventory.xlsxの最終行に追加する</t>
  </si>
  <si>
    <t>PurchasePlanner, InventoryManager</t>
  </si>
  <si>
    <t>AutoProcessor</t>
  </si>
  <si>
    <t>各機能クラスのインスタンスを保持</t>
  </si>
  <si>
    <t>run_all()</t>
  </si>
  <si>
    <t>F001〜F007までの処理を順番に自動実行する</t>
  </si>
  <si>
    <t>PurchasePlanner, EmailComposer, EmailSender, InventoryUpdater</t>
  </si>
  <si>
    <t>folder_path
file_pattern</t>
    <phoneticPr fontId="2"/>
  </si>
  <si>
    <t>注文ファイルのフォルダ
ファイル名パターン</t>
    <phoneticPr fontId="2"/>
  </si>
  <si>
    <t>inventory
orders
thresholds</t>
    <phoneticPr fontId="2"/>
  </si>
  <si>
    <t>在庫の各クラスインスタンス
注文〃
しきい値〃</t>
    <phoneticPr fontId="2"/>
  </si>
  <si>
    <t>latest_inventory(), total_orders(), 
plan(), 
pickup_items()</t>
    <phoneticPr fontId="2"/>
  </si>
  <si>
    <t>最新在庫・注文数・しきい値を統合し、残在庫と発注対象を判定する</t>
    <phoneticPr fontId="2"/>
  </si>
  <si>
    <t>発注対象の商品と追加量</t>
    <phoneticPr fontId="2"/>
  </si>
  <si>
    <t>planner, composer, sender, updater</t>
    <phoneticPr fontId="2"/>
  </si>
  <si>
    <t>クラス図のコードを生成AIで作成</t>
    <rPh sb="3" eb="4">
      <t>ズ</t>
    </rPh>
    <rPh sb="9" eb="11">
      <t>セイセイ</t>
    </rPh>
    <rPh sb="14" eb="16">
      <t>サクセイ</t>
    </rPh>
    <phoneticPr fontId="2"/>
  </si>
  <si>
    <t>想定結果</t>
    <rPh sb="0" eb="2">
      <t>ソウテイ</t>
    </rPh>
    <rPh sb="2" eb="4">
      <t>ケッカ</t>
    </rPh>
    <phoneticPr fontId="2"/>
  </si>
  <si>
    <t>⑫想定結果</t>
  </si>
  <si>
    <t>想定の計算結果を整理するため</t>
    <rPh sb="0" eb="2">
      <t>ソウテイ</t>
    </rPh>
    <rPh sb="3" eb="5">
      <t>ケイサン</t>
    </rPh>
    <rPh sb="5" eb="7">
      <t>ケッカ</t>
    </rPh>
    <rPh sb="8" eb="10">
      <t>セイリ</t>
    </rPh>
    <phoneticPr fontId="2"/>
  </si>
  <si>
    <r>
      <rPr>
        <b/>
        <sz val="18"/>
        <color theme="1"/>
        <rFont val="Segoe UI Emoji"/>
        <family val="2"/>
      </rPr>
      <t>📊</t>
    </r>
    <r>
      <rPr>
        <b/>
        <sz val="18"/>
        <color theme="1"/>
        <rFont val="Meiryo UI"/>
        <family val="3"/>
        <charset val="128"/>
      </rPr>
      <t xml:space="preserve"> 小規模システム開発の進め方・成果物・進捗</t>
    </r>
    <rPh sb="17" eb="20">
      <t>セイカブツ</t>
    </rPh>
    <rPh sb="21" eb="23">
      <t>シンチョク</t>
    </rPh>
    <phoneticPr fontId="2"/>
  </si>
  <si>
    <t>No</t>
  </si>
  <si>
    <t>①</t>
    <phoneticPr fontId="2"/>
  </si>
  <si>
    <t>②</t>
    <phoneticPr fontId="2"/>
  </si>
  <si>
    <t>③</t>
    <phoneticPr fontId="2"/>
  </si>
  <si>
    <t>④</t>
    <phoneticPr fontId="2"/>
  </si>
  <si>
    <t>⑤</t>
    <phoneticPr fontId="2"/>
  </si>
  <si>
    <t>大根</t>
    <phoneticPr fontId="2"/>
  </si>
  <si>
    <t>注文A</t>
    <rPh sb="0" eb="2">
      <t>チュウモン</t>
    </rPh>
    <phoneticPr fontId="2"/>
  </si>
  <si>
    <t>注文B</t>
    <rPh sb="0" eb="2">
      <t>チュウモン</t>
    </rPh>
    <phoneticPr fontId="2"/>
  </si>
  <si>
    <t>注文C</t>
    <rPh sb="0" eb="2">
      <t>チュウモン</t>
    </rPh>
    <phoneticPr fontId="2"/>
  </si>
  <si>
    <t>注文D</t>
    <rPh sb="0" eb="2">
      <t>チュウモン</t>
    </rPh>
    <phoneticPr fontId="2"/>
  </si>
  <si>
    <t>注文合計</t>
    <rPh sb="0" eb="4">
      <t>チュウモンゴウケイ</t>
    </rPh>
    <phoneticPr fontId="2"/>
  </si>
  <si>
    <t>①〜④の合計</t>
    <phoneticPr fontId="2"/>
  </si>
  <si>
    <t>項目</t>
    <phoneticPr fontId="2"/>
  </si>
  <si>
    <t>計算式</t>
    <phoneticPr fontId="2"/>
  </si>
  <si>
    <t>⑥</t>
    <phoneticPr fontId="2"/>
  </si>
  <si>
    <t>⑦</t>
    <phoneticPr fontId="2"/>
  </si>
  <si>
    <t>残在庫数</t>
    <rPh sb="0" eb="3">
      <t>ザンザイコ</t>
    </rPh>
    <rPh sb="3" eb="4">
      <t>スウ</t>
    </rPh>
    <phoneticPr fontId="2"/>
  </si>
  <si>
    <t>⑥ − ⑤</t>
    <phoneticPr fontId="2"/>
  </si>
  <si>
    <t>⑧</t>
    <phoneticPr fontId="2"/>
  </si>
  <si>
    <t>⑩</t>
    <phoneticPr fontId="2"/>
  </si>
  <si>
    <t>⑦ &lt; ⑧ の場合「発注必要」</t>
    <phoneticPr fontId="2"/>
  </si>
  <si>
    <t>発注数（追加量）</t>
    <phoneticPr fontId="2"/>
  </si>
  <si>
    <t>⑪</t>
    <phoneticPr fontId="2"/>
  </si>
  <si>
    <t>発注後在庫数</t>
    <phoneticPr fontId="2"/>
  </si>
  <si>
    <t>⑫</t>
    <phoneticPr fontId="2"/>
  </si>
  <si>
    <t>⑦ + ⑪</t>
  </si>
  <si>
    <t>在庫</t>
    <rPh sb="0" eb="2">
      <t>ザイコ</t>
    </rPh>
    <phoneticPr fontId="2"/>
  </si>
  <si>
    <t>しきい値</t>
    <phoneticPr fontId="2"/>
  </si>
  <si>
    <t>⑨</t>
    <phoneticPr fontId="2"/>
  </si>
  <si>
    <t>追加量</t>
    <phoneticPr fontId="2"/>
  </si>
  <si>
    <t>発注有無（判定）</t>
    <phoneticPr fontId="2"/>
  </si>
  <si>
    <t>⑩が「必要」の場合は⑨を使用</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</si>
</sst>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Yu Gothic"/>
      <family val="2"/>
      <scheme val="minor"/>
    </font>
    <font>
      <sz val="11"/>
      <color theme="1"/>
      <name val="Yu Gothic"/>
      <family val="2"/>
      <charset val="128"/>
      <scheme val="minor"/>
    </font>
    <font>
      <sz val="6"/>
      <name val="Yu Gothic"/>
      <family val="3"/>
      <charset val="128"/>
      <scheme val="minor"/>
    </font>
    <font>
      <u/>
      <sz val="11"/>
      <color theme="10"/>
      <name val="Yu Gothic"/>
      <family val="2"/>
      <scheme val="minor"/>
    </font>
    <font>
      <b/>
      <sz val="13.5"/>
      <color theme="1"/>
      <name val="Meiryo UI"/>
      <family val="3"/>
      <charset val="128"/>
    </font>
    <font>
      <sz val="11"/>
      <color theme="1"/>
      <name val="Meiryo UI"/>
      <family val="3"/>
      <charset val="128"/>
    </font>
    <font>
      <b/>
      <sz val="11"/>
      <color theme="1"/>
      <name val="Meiryo UI"/>
      <family val="3"/>
      <charset val="128"/>
    </font>
    <font>
      <b/>
      <sz val="18"/>
      <color theme="1"/>
      <name val="Meiryo UI"/>
      <family val="3"/>
      <charset val="128"/>
    </font>
    <font>
      <u/>
      <sz val="11"/>
      <color theme="10"/>
      <name val="Meiryo UI"/>
      <family val="3"/>
      <charset val="128"/>
    </font>
    <font>
      <b/>
      <sz val="11"/>
      <color theme="1"/>
      <name val="Yu Gothic"/>
      <family val="3"/>
      <charset val="128"/>
      <scheme val="minor"/>
    </font>
    <font>
      <b/>
      <sz val="18"/>
      <color theme="1"/>
      <name val="Yu Gothic"/>
      <family val="3"/>
      <charset val="128"/>
      <scheme val="minor"/>
    </font>
    <font>
      <b/>
      <sz val="18"/>
      <color theme="1"/>
      <name val="Segoe UI Emoji"/>
      <family val="2"/>
    </font>
    <font>
      <b/>
      <sz val="18"/>
      <color theme="1"/>
      <name val="Meiryo UI"/>
      <family val="2"/>
      <charset val="128"/>
    </font>
    <font>
      <sz val="11"/>
      <color theme="1"/>
      <name val="Yu Gothic"/>
      <family val="3"/>
      <charset val="128"/>
      <scheme val="minor"/>
    </font>
    <font>
      <b/>
      <sz val="14"/>
      <color theme="1"/>
      <name val="Yu Gothic"/>
      <family val="3"/>
      <charset val="128"/>
      <scheme val="minor"/>
    </font>
  </fonts>
  <fills count="7">
    <fill>
      <patternFill patternType="none"/>
    </fill>
    <fill>
      <patternFill patternType="gray125"/>
    </fill>
    <fill>
      <patternFill patternType="solid">
        <fgColor theme="5"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3" fillId="0" borderId="0" applyNumberFormat="0" applyFill="0" applyBorder="0" applyAlignment="0" applyProtection="0"/>
    <xf numFmtId="0" fontId="1" fillId="0" borderId="0">
      <alignment vertical="center"/>
    </xf>
  </cellStyleXfs>
  <cellXfs count="39">
    <xf numFmtId="0" fontId="0" fillId="0" borderId="0" xfId="0"/>
    <xf numFmtId="0" fontId="0" fillId="0" borderId="0" xfId="0" applyAlignment="1">
      <alignment vertical="center" wrapText="1"/>
    </xf>
    <xf numFmtId="0" fontId="4" fillId="0" borderId="0" xfId="0" applyFont="1" applyAlignment="1">
      <alignment vertical="center"/>
    </xf>
    <xf numFmtId="0" fontId="5" fillId="0" borderId="0" xfId="0" applyFont="1"/>
    <xf numFmtId="0" fontId="5" fillId="0" borderId="1" xfId="0" applyFont="1" applyBorder="1" applyAlignment="1">
      <alignment vertical="center" wrapText="1"/>
    </xf>
    <xf numFmtId="0" fontId="6" fillId="2" borderId="1" xfId="0" applyFont="1" applyFill="1" applyBorder="1" applyAlignment="1">
      <alignment horizontal="center" vertical="center" wrapText="1"/>
    </xf>
    <xf numFmtId="0" fontId="5" fillId="0" borderId="1" xfId="0" applyFont="1" applyBorder="1"/>
    <xf numFmtId="0" fontId="3" fillId="0" borderId="0" xfId="1"/>
    <xf numFmtId="0" fontId="6" fillId="2" borderId="2" xfId="0" applyFont="1" applyFill="1" applyBorder="1" applyAlignment="1">
      <alignment horizontal="center" vertical="center" wrapText="1"/>
    </xf>
    <xf numFmtId="0" fontId="5" fillId="0" borderId="1" xfId="0" quotePrefix="1" applyFont="1" applyBorder="1" applyAlignment="1">
      <alignment vertical="center" wrapText="1"/>
    </xf>
    <xf numFmtId="0" fontId="8" fillId="0" borderId="1" xfId="1" applyFont="1" applyBorder="1" applyAlignment="1">
      <alignment vertical="center" wrapText="1"/>
    </xf>
    <xf numFmtId="0" fontId="5" fillId="0" borderId="1" xfId="0" applyFont="1" applyBorder="1" applyAlignment="1">
      <alignment vertical="top" wrapText="1"/>
    </xf>
    <xf numFmtId="0" fontId="8" fillId="0" borderId="1" xfId="1" applyFont="1" applyBorder="1" applyAlignment="1">
      <alignment vertical="center"/>
    </xf>
    <xf numFmtId="0" fontId="5" fillId="0" borderId="1" xfId="0" applyFont="1" applyBorder="1" applyAlignment="1">
      <alignment horizontal="center" vertical="center" wrapText="1"/>
    </xf>
    <xf numFmtId="0" fontId="5" fillId="0" borderId="1" xfId="0" applyFont="1" applyBorder="1" applyAlignment="1">
      <alignment vertical="top"/>
    </xf>
    <xf numFmtId="0" fontId="5" fillId="3" borderId="1" xfId="0" applyFont="1" applyFill="1" applyBorder="1"/>
    <xf numFmtId="0" fontId="9" fillId="0" borderId="0" xfId="2" applyFont="1">
      <alignment vertical="center"/>
    </xf>
    <xf numFmtId="0" fontId="10" fillId="0" borderId="0" xfId="0" applyFont="1" applyAlignment="1">
      <alignment vertical="center"/>
    </xf>
    <xf numFmtId="0" fontId="9" fillId="0" borderId="0" xfId="0" applyFont="1" applyAlignment="1">
      <alignment horizontal="center" vertical="center" wrapText="1"/>
    </xf>
    <xf numFmtId="0" fontId="5" fillId="4" borderId="1" xfId="0" applyFont="1" applyFill="1" applyBorder="1"/>
    <xf numFmtId="0" fontId="5" fillId="4" borderId="1" xfId="0" applyFont="1" applyFill="1" applyBorder="1" applyAlignment="1">
      <alignment wrapText="1"/>
    </xf>
    <xf numFmtId="0" fontId="3" fillId="0" borderId="1" xfId="1" applyBorder="1" applyAlignment="1">
      <alignment vertical="center" wrapText="1"/>
    </xf>
    <xf numFmtId="0" fontId="12" fillId="0" borderId="0" xfId="0" applyFont="1" applyAlignment="1">
      <alignment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quotePrefix="1" applyFont="1" applyBorder="1" applyAlignment="1">
      <alignment horizontal="left" vertical="center" wrapText="1"/>
    </xf>
    <xf numFmtId="0" fontId="5" fillId="0" borderId="1" xfId="0" quotePrefix="1" applyFont="1" applyBorder="1" applyAlignment="1">
      <alignment vertical="center" wrapText="1"/>
    </xf>
    <xf numFmtId="0" fontId="5" fillId="0" borderId="1" xfId="0" applyFont="1" applyBorder="1" applyAlignment="1">
      <alignment vertical="center" wrapText="1"/>
    </xf>
    <xf numFmtId="0" fontId="9" fillId="2" borderId="1" xfId="0" applyFont="1" applyFill="1" applyBorder="1" applyAlignment="1">
      <alignment horizontal="center" vertical="center" wrapText="1"/>
    </xf>
    <xf numFmtId="0" fontId="13" fillId="0" borderId="0" xfId="2" applyFont="1">
      <alignment vertical="center"/>
    </xf>
    <xf numFmtId="0" fontId="13" fillId="0" borderId="1" xfId="2" applyFont="1" applyBorder="1">
      <alignment vertical="center"/>
    </xf>
    <xf numFmtId="0" fontId="13" fillId="5" borderId="1" xfId="2" applyFont="1" applyFill="1" applyBorder="1">
      <alignment vertical="center"/>
    </xf>
    <xf numFmtId="0" fontId="13" fillId="2" borderId="1" xfId="2" applyFont="1" applyFill="1" applyBorder="1" applyAlignment="1">
      <alignment horizontal="center" vertical="center"/>
    </xf>
    <xf numFmtId="0" fontId="13" fillId="2" borderId="1" xfId="0" applyFont="1" applyFill="1" applyBorder="1" applyAlignment="1">
      <alignment horizontal="center" vertical="center" wrapText="1"/>
    </xf>
    <xf numFmtId="0" fontId="14" fillId="0" borderId="0" xfId="2" applyFont="1">
      <alignment vertical="center"/>
    </xf>
    <xf numFmtId="0" fontId="13" fillId="0" borderId="1" xfId="2" applyFont="1" applyBorder="1" applyAlignment="1">
      <alignment horizontal="center" vertical="center"/>
    </xf>
    <xf numFmtId="0" fontId="13" fillId="6" borderId="1" xfId="2" applyFont="1" applyFill="1" applyBorder="1" applyAlignment="1">
      <alignment horizontal="center" vertical="center"/>
    </xf>
    <xf numFmtId="0" fontId="9" fillId="5" borderId="1" xfId="2" applyFont="1" applyFill="1" applyBorder="1">
      <alignment vertical="center"/>
    </xf>
    <xf numFmtId="0" fontId="9" fillId="0" borderId="1" xfId="2" applyFont="1" applyBorder="1">
      <alignment vertical="center"/>
    </xf>
  </cellXfs>
  <cellStyles count="3">
    <cellStyle name="ハイパーリンク" xfId="1" builtinId="8"/>
    <cellStyle name="標準" xfId="0" builtinId="0"/>
    <cellStyle name="標準 2" xfId="2" xr:uid="{D9DDD337-B21E-42EF-A30C-DB22B59835E3}"/>
  </cellStyles>
  <dxfs count="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171551</xdr:colOff>
      <xdr:row>6</xdr:row>
      <xdr:rowOff>145088</xdr:rowOff>
    </xdr:from>
    <xdr:to>
      <xdr:col>5</xdr:col>
      <xdr:colOff>83018</xdr:colOff>
      <xdr:row>6</xdr:row>
      <xdr:rowOff>4012778</xdr:rowOff>
    </xdr:to>
    <xdr:pic>
      <xdr:nvPicPr>
        <xdr:cNvPr id="2" name="図 1">
          <a:extLst>
            <a:ext uri="{FF2B5EF4-FFF2-40B4-BE49-F238E27FC236}">
              <a16:creationId xmlns:a16="http://schemas.microsoft.com/office/drawing/2014/main" id="{AC7D77EA-E8CA-925A-89AA-1A368332BA96}"/>
            </a:ext>
          </a:extLst>
        </xdr:cNvPr>
        <xdr:cNvPicPr>
          <a:picLocks noChangeAspect="1"/>
        </xdr:cNvPicPr>
      </xdr:nvPicPr>
      <xdr:blipFill>
        <a:blip xmlns:r="http://schemas.openxmlformats.org/officeDocument/2006/relationships" r:embed="rId1"/>
        <a:stretch>
          <a:fillRect/>
        </a:stretch>
      </xdr:blipFill>
      <xdr:spPr>
        <a:xfrm>
          <a:off x="9797404" y="1713912"/>
          <a:ext cx="6130732" cy="38676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361950</xdr:colOff>
      <xdr:row>15</xdr:row>
      <xdr:rowOff>29603</xdr:rowOff>
    </xdr:from>
    <xdr:to>
      <xdr:col>7</xdr:col>
      <xdr:colOff>1749425</xdr:colOff>
      <xdr:row>44</xdr:row>
      <xdr:rowOff>41274</xdr:rowOff>
    </xdr:to>
    <xdr:pic>
      <xdr:nvPicPr>
        <xdr:cNvPr id="2" name="図 1">
          <a:extLst>
            <a:ext uri="{FF2B5EF4-FFF2-40B4-BE49-F238E27FC236}">
              <a16:creationId xmlns:a16="http://schemas.microsoft.com/office/drawing/2014/main" id="{B1A88661-590E-F084-AD35-337079716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5182628"/>
          <a:ext cx="13741400" cy="55361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952500</xdr:colOff>
      <xdr:row>6</xdr:row>
      <xdr:rowOff>85725</xdr:rowOff>
    </xdr:from>
    <xdr:to>
      <xdr:col>6</xdr:col>
      <xdr:colOff>1457325</xdr:colOff>
      <xdr:row>45</xdr:row>
      <xdr:rowOff>161925</xdr:rowOff>
    </xdr:to>
    <xdr:pic>
      <xdr:nvPicPr>
        <xdr:cNvPr id="3" name="図 2">
          <a:extLst>
            <a:ext uri="{FF2B5EF4-FFF2-40B4-BE49-F238E27FC236}">
              <a16:creationId xmlns:a16="http://schemas.microsoft.com/office/drawing/2014/main" id="{947BA24B-A728-93A5-D589-9CC91FBA1F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52550"/>
          <a:ext cx="12963525" cy="7543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plantuml.com/plantuml/uml/SyfFKj2rKt3CoKnELR1Io4ZDoSa700001"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plantuml.com/plantuml/uml/SyfFKj2rKt3CoKnELR1Io4ZDoSa7000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showGridLines="0" workbookViewId="0">
      <pane xSplit="3" ySplit="3" topLeftCell="D4" activePane="bottomRight" state="frozen"/>
      <selection pane="topRight" activeCell="D1" sqref="D1"/>
      <selection pane="bottomLeft" activeCell="A4" sqref="A4"/>
      <selection pane="bottomRight" activeCell="D34" sqref="D34"/>
    </sheetView>
  </sheetViews>
  <sheetFormatPr defaultRowHeight="15"/>
  <cols>
    <col min="1" max="2" width="15.9140625" style="3" customWidth="1"/>
    <col min="3" max="3" width="36" style="3" customWidth="1"/>
    <col min="4" max="5" width="34.58203125" style="3" customWidth="1"/>
    <col min="6" max="6" width="10" style="3" customWidth="1"/>
    <col min="7" max="16384" width="8.6640625" style="3"/>
  </cols>
  <sheetData>
    <row r="1" spans="1:6" ht="26">
      <c r="A1" s="22" t="s">
        <v>381</v>
      </c>
    </row>
    <row r="3" spans="1:6">
      <c r="A3" s="5" t="s">
        <v>8</v>
      </c>
      <c r="B3" s="5" t="s">
        <v>9</v>
      </c>
      <c r="C3" s="5" t="s">
        <v>10</v>
      </c>
      <c r="D3" s="8" t="s">
        <v>11</v>
      </c>
      <c r="E3" s="8" t="s">
        <v>154</v>
      </c>
      <c r="F3" s="8" t="s">
        <v>183</v>
      </c>
    </row>
    <row r="4" spans="1:6">
      <c r="A4" s="27" t="s">
        <v>0</v>
      </c>
      <c r="B4" s="27" t="s">
        <v>6</v>
      </c>
      <c r="C4" s="26" t="s">
        <v>166</v>
      </c>
      <c r="D4" s="10" t="s">
        <v>43</v>
      </c>
      <c r="E4" s="4" t="s">
        <v>155</v>
      </c>
      <c r="F4" s="13" t="s">
        <v>186</v>
      </c>
    </row>
    <row r="5" spans="1:6">
      <c r="A5" s="27"/>
      <c r="B5" s="27"/>
      <c r="C5" s="27"/>
      <c r="D5" s="10" t="s">
        <v>48</v>
      </c>
      <c r="E5" s="4" t="s">
        <v>156</v>
      </c>
      <c r="F5" s="13" t="s">
        <v>186</v>
      </c>
    </row>
    <row r="6" spans="1:6" ht="30">
      <c r="A6" s="27" t="s">
        <v>1</v>
      </c>
      <c r="B6" s="27" t="s">
        <v>7</v>
      </c>
      <c r="C6" s="26" t="s">
        <v>167</v>
      </c>
      <c r="D6" s="12" t="s">
        <v>61</v>
      </c>
      <c r="E6" s="4" t="s">
        <v>157</v>
      </c>
      <c r="F6" s="13" t="s">
        <v>186</v>
      </c>
    </row>
    <row r="7" spans="1:6">
      <c r="A7" s="27"/>
      <c r="B7" s="27"/>
      <c r="C7" s="27"/>
      <c r="D7" s="10" t="s">
        <v>63</v>
      </c>
      <c r="E7" s="4" t="s">
        <v>158</v>
      </c>
      <c r="F7" s="13" t="s">
        <v>186</v>
      </c>
    </row>
    <row r="8" spans="1:6">
      <c r="A8" s="27"/>
      <c r="B8" s="27"/>
      <c r="C8" s="27"/>
      <c r="D8" s="10" t="s">
        <v>65</v>
      </c>
      <c r="E8" s="4" t="s">
        <v>159</v>
      </c>
      <c r="F8" s="13" t="s">
        <v>186</v>
      </c>
    </row>
    <row r="9" spans="1:6" ht="30">
      <c r="A9" s="27"/>
      <c r="B9" s="27"/>
      <c r="C9" s="27"/>
      <c r="D9" s="10" t="s">
        <v>66</v>
      </c>
      <c r="E9" s="4" t="s">
        <v>160</v>
      </c>
      <c r="F9" s="13" t="s">
        <v>186</v>
      </c>
    </row>
    <row r="10" spans="1:6">
      <c r="A10" s="27" t="s">
        <v>2</v>
      </c>
      <c r="B10" s="27" t="s">
        <v>12</v>
      </c>
      <c r="C10" s="26" t="s">
        <v>168</v>
      </c>
      <c r="D10" s="10" t="s">
        <v>67</v>
      </c>
      <c r="E10" s="4" t="s">
        <v>161</v>
      </c>
      <c r="F10" s="13" t="s">
        <v>185</v>
      </c>
    </row>
    <row r="11" spans="1:6" ht="30">
      <c r="A11" s="27"/>
      <c r="B11" s="27"/>
      <c r="C11" s="27"/>
      <c r="D11" s="10" t="s">
        <v>108</v>
      </c>
      <c r="E11" s="4" t="s">
        <v>162</v>
      </c>
      <c r="F11" s="13" t="s">
        <v>185</v>
      </c>
    </row>
    <row r="12" spans="1:6" ht="30">
      <c r="A12" s="27" t="s">
        <v>3</v>
      </c>
      <c r="B12" s="27" t="s">
        <v>13</v>
      </c>
      <c r="C12" s="26" t="s">
        <v>169</v>
      </c>
      <c r="D12" s="10" t="s">
        <v>146</v>
      </c>
      <c r="E12" s="4" t="s">
        <v>163</v>
      </c>
      <c r="F12" s="13" t="s">
        <v>185</v>
      </c>
    </row>
    <row r="13" spans="1:6" ht="30">
      <c r="A13" s="27"/>
      <c r="B13" s="27"/>
      <c r="C13" s="27"/>
      <c r="D13" s="10" t="s">
        <v>150</v>
      </c>
      <c r="E13" s="4" t="s">
        <v>164</v>
      </c>
      <c r="F13" s="13" t="s">
        <v>185</v>
      </c>
    </row>
    <row r="14" spans="1:6" ht="30">
      <c r="A14" s="27"/>
      <c r="B14" s="27"/>
      <c r="C14" s="27"/>
      <c r="D14" s="10" t="s">
        <v>151</v>
      </c>
      <c r="E14" s="4" t="s">
        <v>165</v>
      </c>
      <c r="F14" s="13" t="s">
        <v>185</v>
      </c>
    </row>
    <row r="15" spans="1:6" ht="30">
      <c r="A15" s="4" t="s">
        <v>4</v>
      </c>
      <c r="B15" s="4" t="s">
        <v>14</v>
      </c>
      <c r="C15" s="9" t="s">
        <v>170</v>
      </c>
      <c r="D15" s="4" t="s">
        <v>152</v>
      </c>
      <c r="E15" s="4"/>
      <c r="F15" s="13" t="s">
        <v>261</v>
      </c>
    </row>
    <row r="16" spans="1:6" ht="60">
      <c r="A16" s="23" t="s">
        <v>5</v>
      </c>
      <c r="B16" s="24" t="s">
        <v>15</v>
      </c>
      <c r="C16" s="25" t="s">
        <v>171</v>
      </c>
      <c r="D16" s="10" t="s">
        <v>153</v>
      </c>
      <c r="E16" s="4" t="s">
        <v>172</v>
      </c>
      <c r="F16" s="13" t="s">
        <v>184</v>
      </c>
    </row>
    <row r="17" spans="1:6" ht="18">
      <c r="A17" s="23"/>
      <c r="B17" s="24"/>
      <c r="C17" s="25"/>
      <c r="D17" s="21" t="s">
        <v>379</v>
      </c>
      <c r="E17" s="4" t="s">
        <v>380</v>
      </c>
      <c r="F17" s="13" t="s">
        <v>186</v>
      </c>
    </row>
  </sheetData>
  <mergeCells count="15">
    <mergeCell ref="A16:A17"/>
    <mergeCell ref="B16:B17"/>
    <mergeCell ref="C16:C17"/>
    <mergeCell ref="C12:C14"/>
    <mergeCell ref="C4:C5"/>
    <mergeCell ref="C6:C9"/>
    <mergeCell ref="C10:C11"/>
    <mergeCell ref="A10:A11"/>
    <mergeCell ref="B10:B11"/>
    <mergeCell ref="A12:A14"/>
    <mergeCell ref="B12:B14"/>
    <mergeCell ref="A4:A5"/>
    <mergeCell ref="B4:B5"/>
    <mergeCell ref="A6:A9"/>
    <mergeCell ref="B6:B9"/>
  </mergeCells>
  <phoneticPr fontId="2"/>
  <conditionalFormatting sqref="F4:F17">
    <cfRule type="containsText" dxfId="5" priority="1" operator="containsText" text="作業不要">
      <formula>NOT(ISERROR(SEARCH("作業不要",F4)))</formula>
    </cfRule>
    <cfRule type="containsText" dxfId="4" priority="2" operator="containsText" text="完了">
      <formula>NOT(ISERROR(SEARCH("完了",F4)))</formula>
    </cfRule>
    <cfRule type="containsText" dxfId="3" priority="3" operator="containsText" text="作業中">
      <formula>NOT(ISERROR(SEARCH("作業中",F4)))</formula>
    </cfRule>
    <cfRule type="containsText" dxfId="2" priority="4" operator="containsText" text="未着手">
      <formula>NOT(ISERROR(SEARCH("未着手",F4)))</formula>
    </cfRule>
  </conditionalFormatting>
  <dataValidations count="1">
    <dataValidation type="list" allowBlank="1" showInputMessage="1" showErrorMessage="1" sqref="F4:F17" xr:uid="{2AF23653-A201-4B0E-A961-7F2C42F6AA1C}">
      <formula1>"未着手,作業中,完了,作業不要"</formula1>
    </dataValidation>
  </dataValidations>
  <hyperlinks>
    <hyperlink ref="D4" location="①要件定義書!A1" display="①要件定義書" xr:uid="{8D9F3717-0198-4061-B3FE-7F1A60599104}"/>
    <hyperlink ref="D5" location="②機能一覧!A1" display="②機能一覧" xr:uid="{98D4BB99-55C7-4CE6-A6DE-D9CA6CD65A2C}"/>
    <hyperlink ref="D7" location="④データ項目表!A1" display="④データ項目表" xr:uid="{72CC960E-1A55-4873-B814-009903D5F109}"/>
    <hyperlink ref="D8" location="⑤クラス図!A1" display="⑤クラス図" xr:uid="{114C9256-602E-49AA-A8DF-CA79167FD661}"/>
    <hyperlink ref="D9" location="⑥シーケンス図!A1" display="⑥シーケンス図" xr:uid="{F08D4C8F-6811-4DAB-AF84-994FB1176151}"/>
    <hyperlink ref="D10" location="⑦ER図!A1" display="⑦ER図" xr:uid="{BEC14B9B-359A-4585-A40C-54D6E054A5F3}"/>
    <hyperlink ref="D6" location="③機能仕様書!A1" display="③機能仕様書" xr:uid="{4749AA6C-32A0-4561-B2D0-2C605A58ECEF}"/>
    <hyperlink ref="D11" location="⑧DB設計書!A1" display="⑧DB設計書" xr:uid="{248B4839-9F52-4988-9985-8CD58AAAA6D1}"/>
    <hyperlink ref="D12" location="⑨画面一覧!A1" display="⑨画面一覧" xr:uid="{CFC35DC4-1773-4D0A-9575-40445E62E1C4}"/>
    <hyperlink ref="D13" location="⑩ワイヤーフレーム!A1" display="⑩ワイヤーフレーム" xr:uid="{4A703700-91B8-47E2-B5A9-605F34ABF608}"/>
    <hyperlink ref="D14" location="⑪画面設計書!A1" display="⑪画面設計書" xr:uid="{603DF5D1-819C-49A4-AD22-B9569152C5B7}"/>
    <hyperlink ref="D16" location="⑫テスト仕様書・結果報告書!A1" display="⑫テスト仕様書・結果報告書" xr:uid="{4DF64F46-27A2-458E-84F2-6D336D9EFD6B}"/>
    <hyperlink ref="D17" location="⑫想定結果!A1" display="⑫想定結果" xr:uid="{67E53511-A105-460D-93D6-C6E222E9509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0DBD5-9A70-49E3-9DD3-4F047A31FFD0}">
  <dimension ref="A1:B9"/>
  <sheetViews>
    <sheetView zoomScale="85" zoomScaleNormal="85" workbookViewId="0">
      <pane ySplit="3" topLeftCell="A4" activePane="bottomLeft" state="frozen"/>
      <selection pane="bottomLeft" activeCell="C16" sqref="C16"/>
    </sheetView>
  </sheetViews>
  <sheetFormatPr defaultRowHeight="15"/>
  <cols>
    <col min="1" max="1" width="27.25" style="3" customWidth="1"/>
    <col min="2" max="2" width="99.08203125" style="3" customWidth="1"/>
    <col min="3" max="7" width="27.25" style="3" customWidth="1"/>
    <col min="8" max="16384" width="8.6640625" style="3"/>
  </cols>
  <sheetData>
    <row r="1" spans="1:2" ht="19">
      <c r="A1" s="2" t="s">
        <v>44</v>
      </c>
    </row>
    <row r="3" spans="1:2">
      <c r="A3" s="5" t="s">
        <v>16</v>
      </c>
      <c r="B3" s="5" t="s">
        <v>17</v>
      </c>
    </row>
    <row r="4" spans="1:2">
      <c r="A4" s="4" t="s">
        <v>18</v>
      </c>
      <c r="B4" s="4" t="s">
        <v>179</v>
      </c>
    </row>
    <row r="5" spans="1:2" ht="45">
      <c r="A5" s="4" t="s">
        <v>19</v>
      </c>
      <c r="B5" s="4" t="s">
        <v>180</v>
      </c>
    </row>
    <row r="6" spans="1:2">
      <c r="A6" s="4" t="s">
        <v>20</v>
      </c>
      <c r="B6" s="4" t="s">
        <v>181</v>
      </c>
    </row>
    <row r="7" spans="1:2" ht="345">
      <c r="A7" s="4" t="s">
        <v>21</v>
      </c>
      <c r="B7" s="11" t="s">
        <v>263</v>
      </c>
    </row>
    <row r="8" spans="1:2" ht="120">
      <c r="A8" s="4" t="s">
        <v>22</v>
      </c>
      <c r="B8" s="4" t="s">
        <v>262</v>
      </c>
    </row>
    <row r="9" spans="1:2" ht="30">
      <c r="A9" s="4" t="s">
        <v>23</v>
      </c>
      <c r="B9" s="4" t="s">
        <v>182</v>
      </c>
    </row>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D534F-B8C7-4C77-B98C-978B0095D021}">
  <dimension ref="A1:D11"/>
  <sheetViews>
    <sheetView workbookViewId="0">
      <selection activeCell="C41" sqref="C41"/>
    </sheetView>
  </sheetViews>
  <sheetFormatPr defaultRowHeight="15"/>
  <cols>
    <col min="1" max="1" width="13.83203125" style="3" customWidth="1"/>
    <col min="2" max="2" width="14.75" style="3" customWidth="1"/>
    <col min="3" max="3" width="29.5" style="3" bestFit="1" customWidth="1"/>
    <col min="4" max="8" width="27.25" style="3" customWidth="1"/>
    <col min="9" max="16384" width="8.6640625" style="3"/>
  </cols>
  <sheetData>
    <row r="1" spans="1:4" ht="19">
      <c r="A1" s="2" t="s">
        <v>60</v>
      </c>
    </row>
    <row r="3" spans="1:4">
      <c r="A3" s="5" t="s">
        <v>49</v>
      </c>
      <c r="B3" s="5" t="s">
        <v>50</v>
      </c>
      <c r="C3" s="5" t="s">
        <v>24</v>
      </c>
      <c r="D3" s="5" t="s">
        <v>51</v>
      </c>
    </row>
    <row r="4" spans="1:4">
      <c r="A4" s="4" t="s">
        <v>52</v>
      </c>
      <c r="B4" s="4" t="s">
        <v>188</v>
      </c>
      <c r="C4" s="4" t="s">
        <v>189</v>
      </c>
      <c r="D4" s="4" t="s">
        <v>207</v>
      </c>
    </row>
    <row r="5" spans="1:4">
      <c r="A5" s="4" t="s">
        <v>54</v>
      </c>
      <c r="B5" s="4" t="s">
        <v>193</v>
      </c>
      <c r="C5" s="4" t="s">
        <v>194</v>
      </c>
      <c r="D5" s="4" t="s">
        <v>208</v>
      </c>
    </row>
    <row r="6" spans="1:4">
      <c r="A6" s="4" t="s">
        <v>55</v>
      </c>
      <c r="B6" s="4" t="s">
        <v>259</v>
      </c>
      <c r="C6" s="4" t="s">
        <v>264</v>
      </c>
      <c r="D6" s="4" t="s">
        <v>209</v>
      </c>
    </row>
    <row r="7" spans="1:4">
      <c r="A7" s="4" t="s">
        <v>190</v>
      </c>
      <c r="B7" s="4" t="s">
        <v>196</v>
      </c>
      <c r="C7" s="4" t="s">
        <v>197</v>
      </c>
      <c r="D7" s="4" t="s">
        <v>210</v>
      </c>
    </row>
    <row r="8" spans="1:4">
      <c r="A8" s="4" t="s">
        <v>191</v>
      </c>
      <c r="B8" s="4" t="s">
        <v>199</v>
      </c>
      <c r="C8" s="4" t="s">
        <v>200</v>
      </c>
      <c r="D8" s="4" t="s">
        <v>211</v>
      </c>
    </row>
    <row r="9" spans="1:4">
      <c r="A9" s="4" t="s">
        <v>192</v>
      </c>
      <c r="B9" s="4" t="s">
        <v>202</v>
      </c>
      <c r="C9" s="4" t="s">
        <v>203</v>
      </c>
      <c r="D9" s="4" t="s">
        <v>212</v>
      </c>
    </row>
    <row r="10" spans="1:4">
      <c r="A10" s="4" t="s">
        <v>257</v>
      </c>
      <c r="B10" s="4" t="s">
        <v>205</v>
      </c>
      <c r="C10" s="4" t="s">
        <v>206</v>
      </c>
      <c r="D10" s="4" t="s">
        <v>232</v>
      </c>
    </row>
    <row r="11" spans="1:4" ht="30">
      <c r="A11" s="4" t="s">
        <v>258</v>
      </c>
      <c r="B11" s="4" t="s">
        <v>228</v>
      </c>
      <c r="C11" s="4" t="s">
        <v>231</v>
      </c>
      <c r="D11" s="4" t="s">
        <v>260</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AD12A-34F3-4713-8D67-C6E8344D2412}">
  <dimension ref="A1:F26"/>
  <sheetViews>
    <sheetView zoomScale="115" zoomScaleNormal="115" workbookViewId="0">
      <pane ySplit="3" topLeftCell="A8" activePane="bottomLeft" state="frozen"/>
      <selection pane="bottomLeft" activeCell="A19" sqref="A19:F23"/>
    </sheetView>
  </sheetViews>
  <sheetFormatPr defaultRowHeight="15"/>
  <cols>
    <col min="1" max="1" width="9.5" style="3" customWidth="1"/>
    <col min="2" max="2" width="10.75" style="3" customWidth="1"/>
    <col min="3" max="4" width="27.25" style="3" customWidth="1"/>
    <col min="5" max="6" width="43.08203125" style="3" customWidth="1"/>
    <col min="7" max="8" width="27.25" style="3" customWidth="1"/>
    <col min="9" max="16384" width="8.6640625" style="3"/>
  </cols>
  <sheetData>
    <row r="1" spans="1:6" ht="19">
      <c r="A1" s="2" t="s">
        <v>62</v>
      </c>
    </row>
    <row r="3" spans="1:6">
      <c r="A3" s="5" t="s">
        <v>49</v>
      </c>
      <c r="B3" s="5" t="s">
        <v>50</v>
      </c>
      <c r="C3" s="5" t="s">
        <v>56</v>
      </c>
      <c r="D3" s="5" t="s">
        <v>57</v>
      </c>
      <c r="E3" s="5" t="s">
        <v>58</v>
      </c>
      <c r="F3" s="5" t="s">
        <v>59</v>
      </c>
    </row>
    <row r="4" spans="1:6" ht="30">
      <c r="A4" s="4" t="s">
        <v>52</v>
      </c>
      <c r="B4" s="4" t="s">
        <v>188</v>
      </c>
      <c r="C4" s="4" t="s">
        <v>266</v>
      </c>
      <c r="D4" s="4" t="s">
        <v>267</v>
      </c>
      <c r="E4" s="4" t="s">
        <v>268</v>
      </c>
      <c r="F4" s="4" t="s">
        <v>273</v>
      </c>
    </row>
    <row r="5" spans="1:6" ht="30">
      <c r="A5" s="4" t="s">
        <v>54</v>
      </c>
      <c r="B5" s="4" t="s">
        <v>193</v>
      </c>
      <c r="C5" s="4" t="s">
        <v>269</v>
      </c>
      <c r="D5" s="4" t="s">
        <v>270</v>
      </c>
      <c r="E5" s="4" t="s">
        <v>271</v>
      </c>
      <c r="F5" s="4" t="s">
        <v>272</v>
      </c>
    </row>
    <row r="6" spans="1:6" ht="30">
      <c r="A6" s="4" t="s">
        <v>256</v>
      </c>
      <c r="B6" s="4" t="s">
        <v>259</v>
      </c>
      <c r="C6" s="4" t="s">
        <v>274</v>
      </c>
      <c r="D6" s="4" t="s">
        <v>276</v>
      </c>
      <c r="E6" s="4" t="s">
        <v>277</v>
      </c>
      <c r="F6" s="4" t="s">
        <v>278</v>
      </c>
    </row>
    <row r="7" spans="1:6" ht="120">
      <c r="A7" s="4" t="s">
        <v>190</v>
      </c>
      <c r="B7" s="4" t="s">
        <v>196</v>
      </c>
      <c r="C7" s="4" t="s">
        <v>279</v>
      </c>
      <c r="D7" s="4" t="s">
        <v>281</v>
      </c>
      <c r="E7" s="4" t="s">
        <v>282</v>
      </c>
      <c r="F7" s="4" t="s">
        <v>283</v>
      </c>
    </row>
    <row r="8" spans="1:6" ht="45">
      <c r="A8" s="4" t="s">
        <v>191</v>
      </c>
      <c r="B8" s="4" t="s">
        <v>198</v>
      </c>
      <c r="C8" s="4" t="s">
        <v>280</v>
      </c>
      <c r="D8" s="4" t="s">
        <v>221</v>
      </c>
      <c r="E8" s="4" t="s">
        <v>313</v>
      </c>
      <c r="F8" s="4" t="s">
        <v>284</v>
      </c>
    </row>
    <row r="9" spans="1:6" ht="90">
      <c r="A9" s="4" t="s">
        <v>192</v>
      </c>
      <c r="B9" s="4" t="s">
        <v>201</v>
      </c>
      <c r="C9" s="4" t="s">
        <v>223</v>
      </c>
      <c r="D9" s="4" t="s">
        <v>225</v>
      </c>
      <c r="E9" s="4" t="s">
        <v>222</v>
      </c>
      <c r="F9" s="4" t="s">
        <v>224</v>
      </c>
    </row>
    <row r="10" spans="1:6" ht="75">
      <c r="A10" s="4" t="s">
        <v>257</v>
      </c>
      <c r="B10" s="4" t="s">
        <v>204</v>
      </c>
      <c r="C10" s="4" t="s">
        <v>275</v>
      </c>
      <c r="D10" s="4" t="s">
        <v>314</v>
      </c>
      <c r="E10" s="4" t="s">
        <v>226</v>
      </c>
      <c r="F10" s="4" t="s">
        <v>227</v>
      </c>
    </row>
    <row r="11" spans="1:6" ht="45">
      <c r="A11" s="4" t="s">
        <v>258</v>
      </c>
      <c r="B11" s="4" t="s">
        <v>228</v>
      </c>
      <c r="C11" s="4" t="s">
        <v>229</v>
      </c>
      <c r="D11" s="4" t="s">
        <v>229</v>
      </c>
      <c r="E11" s="4" t="s">
        <v>230</v>
      </c>
      <c r="F11" s="4" t="s">
        <v>315</v>
      </c>
    </row>
    <row r="14" spans="1:6" ht="18">
      <c r="A14"/>
      <c r="B14"/>
      <c r="C14"/>
      <c r="D14"/>
      <c r="E14"/>
      <c r="F14"/>
    </row>
    <row r="15" spans="1:6" ht="18">
      <c r="A15"/>
      <c r="B15"/>
      <c r="C15"/>
      <c r="D15"/>
      <c r="E15"/>
      <c r="F15"/>
    </row>
    <row r="16" spans="1:6" ht="29">
      <c r="A16" s="17" t="s">
        <v>286</v>
      </c>
      <c r="B16"/>
      <c r="C16"/>
      <c r="D16"/>
      <c r="E16"/>
      <c r="F16"/>
    </row>
    <row r="17" spans="1:6" ht="18">
      <c r="A17"/>
      <c r="B17"/>
      <c r="C17"/>
      <c r="D17"/>
      <c r="E17"/>
      <c r="F17"/>
    </row>
    <row r="18" spans="1:6" ht="18">
      <c r="A18" s="18" t="s">
        <v>265</v>
      </c>
      <c r="B18" s="18" t="s">
        <v>287</v>
      </c>
      <c r="C18" s="18" t="s">
        <v>25</v>
      </c>
      <c r="D18" s="18" t="s">
        <v>26</v>
      </c>
      <c r="E18" s="18" t="s">
        <v>27</v>
      </c>
      <c r="F18" s="18" t="s">
        <v>28</v>
      </c>
    </row>
    <row r="19" spans="1:6" ht="36">
      <c r="A19" s="1" t="s">
        <v>288</v>
      </c>
      <c r="B19" s="1" t="s">
        <v>289</v>
      </c>
      <c r="C19" s="1" t="s">
        <v>290</v>
      </c>
      <c r="D19" s="1" t="s">
        <v>291</v>
      </c>
      <c r="E19" s="1" t="s">
        <v>292</v>
      </c>
      <c r="F19" s="1" t="s">
        <v>293</v>
      </c>
    </row>
    <row r="20" spans="1:6" ht="36">
      <c r="A20" s="1" t="s">
        <v>294</v>
      </c>
      <c r="B20" s="1" t="s">
        <v>250</v>
      </c>
      <c r="C20" s="1" t="s">
        <v>295</v>
      </c>
      <c r="D20" s="1" t="s">
        <v>296</v>
      </c>
      <c r="E20" s="1" t="s">
        <v>297</v>
      </c>
      <c r="F20" s="1" t="s">
        <v>298</v>
      </c>
    </row>
    <row r="21" spans="1:6" ht="18">
      <c r="A21" s="1" t="s">
        <v>299</v>
      </c>
      <c r="B21" s="1" t="s">
        <v>300</v>
      </c>
      <c r="C21" s="1" t="s">
        <v>301</v>
      </c>
      <c r="D21" s="1" t="s">
        <v>302</v>
      </c>
      <c r="E21" s="1" t="b">
        <v>0</v>
      </c>
      <c r="F21" s="1" t="s">
        <v>303</v>
      </c>
    </row>
    <row r="22" spans="1:6" ht="36">
      <c r="A22" s="1" t="s">
        <v>304</v>
      </c>
      <c r="B22" s="1" t="s">
        <v>305</v>
      </c>
      <c r="C22" s="1" t="s">
        <v>306</v>
      </c>
      <c r="D22" s="1" t="s">
        <v>307</v>
      </c>
      <c r="E22" s="1" t="s">
        <v>308</v>
      </c>
      <c r="F22" s="1" t="s">
        <v>309</v>
      </c>
    </row>
    <row r="23" spans="1:6" ht="18">
      <c r="A23" s="1" t="s">
        <v>310</v>
      </c>
      <c r="B23" s="1" t="s">
        <v>311</v>
      </c>
      <c r="C23" s="1" t="s">
        <v>290</v>
      </c>
      <c r="D23" s="1" t="s">
        <v>291</v>
      </c>
      <c r="E23" s="1" t="s">
        <v>292</v>
      </c>
      <c r="F23" s="1" t="s">
        <v>312</v>
      </c>
    </row>
    <row r="24" spans="1:6" ht="18">
      <c r="A24"/>
      <c r="B24"/>
      <c r="C24"/>
      <c r="D24"/>
      <c r="E24"/>
      <c r="F24"/>
    </row>
    <row r="25" spans="1:6" ht="18">
      <c r="A25"/>
      <c r="B25"/>
      <c r="C25"/>
      <c r="D25"/>
      <c r="E25"/>
      <c r="F25"/>
    </row>
    <row r="26" spans="1:6" ht="18">
      <c r="A26"/>
      <c r="B26"/>
      <c r="C26"/>
      <c r="D26"/>
      <c r="E26"/>
      <c r="F26"/>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95284-91C1-4AD7-B866-D4E194B8F0B5}">
  <dimension ref="A1:F16"/>
  <sheetViews>
    <sheetView workbookViewId="0">
      <selection activeCell="B32" sqref="B32"/>
    </sheetView>
  </sheetViews>
  <sheetFormatPr defaultRowHeight="15"/>
  <cols>
    <col min="1" max="9" width="27.25" style="3" customWidth="1"/>
    <col min="10" max="16384" width="8.6640625" style="3"/>
  </cols>
  <sheetData>
    <row r="1" spans="1:6" ht="19">
      <c r="A1" s="2" t="s">
        <v>64</v>
      </c>
      <c r="B1" s="2"/>
    </row>
    <row r="3" spans="1:6">
      <c r="A3" s="5" t="s">
        <v>265</v>
      </c>
      <c r="B3" s="5" t="s">
        <v>287</v>
      </c>
      <c r="C3" s="5" t="s">
        <v>25</v>
      </c>
      <c r="D3" s="5" t="s">
        <v>26</v>
      </c>
      <c r="E3" s="5" t="s">
        <v>27</v>
      </c>
      <c r="F3" s="5" t="s">
        <v>28</v>
      </c>
    </row>
    <row r="4" spans="1:6">
      <c r="A4" s="6" t="s">
        <v>95</v>
      </c>
      <c r="B4" s="6" t="s">
        <v>316</v>
      </c>
      <c r="C4" s="6" t="s">
        <v>290</v>
      </c>
      <c r="D4" s="6" t="s">
        <v>291</v>
      </c>
      <c r="E4" s="6" t="s">
        <v>292</v>
      </c>
      <c r="F4" s="6" t="s">
        <v>317</v>
      </c>
    </row>
    <row r="5" spans="1:6">
      <c r="A5" s="6" t="s">
        <v>318</v>
      </c>
      <c r="B5" s="6" t="s">
        <v>319</v>
      </c>
      <c r="C5" s="6" t="s">
        <v>320</v>
      </c>
      <c r="D5" s="6" t="s">
        <v>321</v>
      </c>
      <c r="E5" s="6">
        <v>0</v>
      </c>
      <c r="F5" s="6" t="s">
        <v>322</v>
      </c>
    </row>
    <row r="6" spans="1:6">
      <c r="A6" s="6" t="s">
        <v>323</v>
      </c>
      <c r="B6" s="6" t="s">
        <v>324</v>
      </c>
      <c r="C6" s="6" t="s">
        <v>306</v>
      </c>
      <c r="D6" s="6" t="s">
        <v>307</v>
      </c>
      <c r="E6" s="6" t="s">
        <v>325</v>
      </c>
      <c r="F6" s="6" t="s">
        <v>326</v>
      </c>
    </row>
    <row r="7" spans="1:6">
      <c r="A7" s="6" t="s">
        <v>327</v>
      </c>
      <c r="B7" s="6" t="s">
        <v>328</v>
      </c>
      <c r="C7" s="6" t="s">
        <v>320</v>
      </c>
      <c r="D7" s="6" t="s">
        <v>321</v>
      </c>
      <c r="E7" s="6">
        <v>0</v>
      </c>
      <c r="F7" s="6" t="s">
        <v>329</v>
      </c>
    </row>
    <row r="8" spans="1:6">
      <c r="A8" s="6" t="s">
        <v>330</v>
      </c>
      <c r="B8" s="6" t="s">
        <v>331</v>
      </c>
      <c r="C8" s="6" t="s">
        <v>320</v>
      </c>
      <c r="D8" s="6" t="s">
        <v>321</v>
      </c>
      <c r="E8" s="6">
        <v>0</v>
      </c>
      <c r="F8" s="6" t="s">
        <v>332</v>
      </c>
    </row>
    <row r="9" spans="1:6">
      <c r="A9" s="6" t="s">
        <v>333</v>
      </c>
      <c r="B9" s="6" t="s">
        <v>334</v>
      </c>
      <c r="C9" s="6" t="s">
        <v>320</v>
      </c>
      <c r="D9" s="6" t="s">
        <v>335</v>
      </c>
      <c r="E9" s="6" t="s">
        <v>336</v>
      </c>
      <c r="F9" s="6" t="s">
        <v>337</v>
      </c>
    </row>
    <row r="10" spans="1:6">
      <c r="A10" s="6" t="s">
        <v>219</v>
      </c>
      <c r="B10" s="6" t="s">
        <v>338</v>
      </c>
      <c r="C10" s="6" t="s">
        <v>320</v>
      </c>
      <c r="D10" s="6" t="s">
        <v>321</v>
      </c>
      <c r="E10" s="6">
        <v>0</v>
      </c>
      <c r="F10" s="6" t="s">
        <v>339</v>
      </c>
    </row>
    <row r="11" spans="1:6">
      <c r="A11" s="6" t="s">
        <v>220</v>
      </c>
      <c r="B11" s="6" t="s">
        <v>340</v>
      </c>
      <c r="C11" s="6" t="s">
        <v>320</v>
      </c>
      <c r="D11" s="6" t="s">
        <v>321</v>
      </c>
      <c r="E11" s="6">
        <v>0</v>
      </c>
      <c r="F11" s="6" t="s">
        <v>341</v>
      </c>
    </row>
    <row r="12" spans="1:6">
      <c r="A12" s="6" t="s">
        <v>288</v>
      </c>
      <c r="B12" s="6" t="s">
        <v>289</v>
      </c>
      <c r="C12" s="6" t="s">
        <v>290</v>
      </c>
      <c r="D12" s="6" t="s">
        <v>291</v>
      </c>
      <c r="E12" s="6" t="s">
        <v>292</v>
      </c>
      <c r="F12" s="6" t="s">
        <v>293</v>
      </c>
    </row>
    <row r="13" spans="1:6">
      <c r="A13" s="6" t="s">
        <v>294</v>
      </c>
      <c r="B13" s="6" t="s">
        <v>250</v>
      </c>
      <c r="C13" s="6" t="s">
        <v>295</v>
      </c>
      <c r="D13" s="6" t="s">
        <v>296</v>
      </c>
      <c r="E13" s="6" t="s">
        <v>297</v>
      </c>
      <c r="F13" s="6" t="s">
        <v>298</v>
      </c>
    </row>
    <row r="14" spans="1:6">
      <c r="A14" s="6" t="s">
        <v>299</v>
      </c>
      <c r="B14" s="6" t="s">
        <v>300</v>
      </c>
      <c r="C14" s="6" t="s">
        <v>301</v>
      </c>
      <c r="D14" s="6" t="s">
        <v>302</v>
      </c>
      <c r="E14" s="6" t="b">
        <v>0</v>
      </c>
      <c r="F14" s="6" t="s">
        <v>303</v>
      </c>
    </row>
    <row r="15" spans="1:6">
      <c r="A15" s="6" t="s">
        <v>304</v>
      </c>
      <c r="B15" s="6" t="s">
        <v>305</v>
      </c>
      <c r="C15" s="6" t="s">
        <v>306</v>
      </c>
      <c r="D15" s="6" t="s">
        <v>307</v>
      </c>
      <c r="E15" s="6" t="s">
        <v>308</v>
      </c>
      <c r="F15" s="6" t="s">
        <v>309</v>
      </c>
    </row>
    <row r="16" spans="1:6">
      <c r="A16" s="6" t="s">
        <v>310</v>
      </c>
      <c r="B16" s="6" t="s">
        <v>311</v>
      </c>
      <c r="C16" s="6" t="s">
        <v>290</v>
      </c>
      <c r="D16" s="6" t="s">
        <v>291</v>
      </c>
      <c r="E16" s="6" t="s">
        <v>292</v>
      </c>
      <c r="F16" s="6" t="s">
        <v>312</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B18FD-C892-4697-BE97-5700CCE51025}">
  <dimension ref="A1:H15"/>
  <sheetViews>
    <sheetView zoomScaleNormal="100" workbookViewId="0">
      <selection activeCell="F14" sqref="F14"/>
    </sheetView>
  </sheetViews>
  <sheetFormatPr defaultRowHeight="15"/>
  <cols>
    <col min="1" max="1" width="7.33203125" style="3" customWidth="1"/>
    <col min="2" max="2" width="19.4140625" style="3" customWidth="1"/>
    <col min="3" max="3" width="15.9140625" style="3" customWidth="1"/>
    <col min="4" max="4" width="26.33203125" style="3" customWidth="1"/>
    <col min="5" max="5" width="34.33203125" style="3" customWidth="1"/>
    <col min="6" max="6" width="24.33203125" style="3" customWidth="1"/>
    <col min="7" max="7" width="34.33203125" style="3" customWidth="1"/>
    <col min="8" max="8" width="31.33203125" style="3" customWidth="1"/>
    <col min="9" max="16384" width="8.6640625" style="3"/>
  </cols>
  <sheetData>
    <row r="1" spans="1:8" ht="19">
      <c r="A1" s="2" t="s">
        <v>45</v>
      </c>
    </row>
    <row r="3" spans="1:8" ht="30">
      <c r="A3" s="5" t="s">
        <v>342</v>
      </c>
      <c r="B3" s="5" t="s">
        <v>29</v>
      </c>
      <c r="C3" s="5" t="s">
        <v>233</v>
      </c>
      <c r="D3" s="5" t="s">
        <v>234</v>
      </c>
      <c r="E3" s="5" t="s">
        <v>343</v>
      </c>
      <c r="F3" s="5" t="s">
        <v>235</v>
      </c>
      <c r="G3" s="5" t="s">
        <v>344</v>
      </c>
      <c r="H3" s="5" t="s">
        <v>236</v>
      </c>
    </row>
    <row r="4" spans="1:8" ht="30">
      <c r="A4" s="14" t="s">
        <v>52</v>
      </c>
      <c r="B4" s="14" t="s">
        <v>237</v>
      </c>
      <c r="C4" s="14" t="s">
        <v>187</v>
      </c>
      <c r="D4" s="11" t="s">
        <v>369</v>
      </c>
      <c r="E4" s="11" t="s">
        <v>370</v>
      </c>
      <c r="F4" s="11" t="s">
        <v>345</v>
      </c>
      <c r="G4" s="11" t="s">
        <v>346</v>
      </c>
      <c r="H4" s="11" t="s">
        <v>238</v>
      </c>
    </row>
    <row r="5" spans="1:8" ht="30">
      <c r="A5" s="14" t="s">
        <v>54</v>
      </c>
      <c r="B5" s="14" t="s">
        <v>239</v>
      </c>
      <c r="C5" s="14" t="s">
        <v>240</v>
      </c>
      <c r="D5" s="11" t="s">
        <v>347</v>
      </c>
      <c r="E5" s="11" t="s">
        <v>348</v>
      </c>
      <c r="F5" s="11" t="s">
        <v>349</v>
      </c>
      <c r="G5" s="11" t="s">
        <v>350</v>
      </c>
      <c r="H5" s="11" t="s">
        <v>351</v>
      </c>
    </row>
    <row r="6" spans="1:8">
      <c r="A6" s="14" t="s">
        <v>55</v>
      </c>
      <c r="B6" s="14" t="s">
        <v>241</v>
      </c>
      <c r="C6" s="14" t="s">
        <v>242</v>
      </c>
      <c r="D6" s="11" t="s">
        <v>347</v>
      </c>
      <c r="E6" s="11" t="s">
        <v>352</v>
      </c>
      <c r="F6" s="11" t="s">
        <v>243</v>
      </c>
      <c r="G6" s="11" t="s">
        <v>353</v>
      </c>
      <c r="H6" s="11" t="s">
        <v>238</v>
      </c>
    </row>
    <row r="7" spans="1:8" ht="75">
      <c r="A7" s="14" t="s">
        <v>190</v>
      </c>
      <c r="B7" s="14" t="s">
        <v>238</v>
      </c>
      <c r="C7" s="14" t="s">
        <v>195</v>
      </c>
      <c r="D7" s="11" t="s">
        <v>371</v>
      </c>
      <c r="E7" s="11" t="s">
        <v>372</v>
      </c>
      <c r="F7" s="11" t="s">
        <v>373</v>
      </c>
      <c r="G7" s="11" t="s">
        <v>374</v>
      </c>
      <c r="H7" s="11" t="s">
        <v>354</v>
      </c>
    </row>
    <row r="8" spans="1:8" ht="30">
      <c r="A8" s="14" t="s">
        <v>191</v>
      </c>
      <c r="B8" s="14" t="s">
        <v>244</v>
      </c>
      <c r="C8" s="14" t="s">
        <v>245</v>
      </c>
      <c r="D8" s="11" t="s">
        <v>246</v>
      </c>
      <c r="E8" s="11" t="s">
        <v>375</v>
      </c>
      <c r="F8" s="11" t="s">
        <v>247</v>
      </c>
      <c r="G8" s="11" t="s">
        <v>355</v>
      </c>
      <c r="H8" s="11" t="s">
        <v>356</v>
      </c>
    </row>
    <row r="9" spans="1:8">
      <c r="A9" s="14" t="s">
        <v>192</v>
      </c>
      <c r="B9" s="14" t="s">
        <v>248</v>
      </c>
      <c r="C9" s="14" t="s">
        <v>249</v>
      </c>
      <c r="D9" s="11" t="s">
        <v>250</v>
      </c>
      <c r="E9" s="11" t="s">
        <v>357</v>
      </c>
      <c r="F9" s="11" t="s">
        <v>251</v>
      </c>
      <c r="G9" s="11" t="s">
        <v>358</v>
      </c>
      <c r="H9" s="11" t="s">
        <v>244</v>
      </c>
    </row>
    <row r="10" spans="1:8" ht="30">
      <c r="A10" s="14" t="s">
        <v>257</v>
      </c>
      <c r="B10" s="14" t="s">
        <v>359</v>
      </c>
      <c r="C10" s="14" t="s">
        <v>204</v>
      </c>
      <c r="D10" s="11" t="s">
        <v>347</v>
      </c>
      <c r="E10" s="11" t="s">
        <v>360</v>
      </c>
      <c r="F10" s="11" t="s">
        <v>361</v>
      </c>
      <c r="G10" s="11" t="s">
        <v>362</v>
      </c>
      <c r="H10" s="11" t="s">
        <v>363</v>
      </c>
    </row>
    <row r="11" spans="1:8" ht="45">
      <c r="A11" s="14" t="s">
        <v>258</v>
      </c>
      <c r="B11" s="14" t="s">
        <v>364</v>
      </c>
      <c r="C11" s="14" t="s">
        <v>285</v>
      </c>
      <c r="D11" s="11" t="s">
        <v>376</v>
      </c>
      <c r="E11" s="11" t="s">
        <v>365</v>
      </c>
      <c r="F11" s="11" t="s">
        <v>366</v>
      </c>
      <c r="G11" s="11" t="s">
        <v>367</v>
      </c>
      <c r="H11" s="11" t="s">
        <v>368</v>
      </c>
    </row>
    <row r="12" spans="1:8" ht="18">
      <c r="A12"/>
      <c r="B12"/>
      <c r="C12"/>
      <c r="D12"/>
      <c r="E12"/>
    </row>
    <row r="13" spans="1:8" ht="18">
      <c r="A13"/>
      <c r="B13"/>
      <c r="F13" s="3" t="s">
        <v>377</v>
      </c>
    </row>
    <row r="14" spans="1:8">
      <c r="F14" s="3" t="s">
        <v>252</v>
      </c>
    </row>
    <row r="15" spans="1:8" ht="18">
      <c r="F15" s="7" t="s">
        <v>253</v>
      </c>
    </row>
  </sheetData>
  <phoneticPr fontId="2"/>
  <hyperlinks>
    <hyperlink ref="F15" r:id="rId1" xr:uid="{21617B07-4BC1-434C-86CD-59015F16C0EE}"/>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E0AEB-4C93-450D-9498-192ED956FD6F}">
  <dimension ref="A1:B7"/>
  <sheetViews>
    <sheetView topLeftCell="A3" workbookViewId="0">
      <selection activeCell="H30" sqref="H30"/>
    </sheetView>
  </sheetViews>
  <sheetFormatPr defaultRowHeight="15"/>
  <cols>
    <col min="1" max="9" width="27.25" style="3" customWidth="1"/>
    <col min="10" max="16384" width="8.6640625" style="3"/>
  </cols>
  <sheetData>
    <row r="1" spans="1:2" ht="19">
      <c r="A1" s="2" t="s">
        <v>46</v>
      </c>
    </row>
    <row r="2" spans="1:2" ht="18">
      <c r="A2" s="3" t="s">
        <v>254</v>
      </c>
      <c r="B2"/>
    </row>
    <row r="3" spans="1:2">
      <c r="A3" s="3" t="s">
        <v>255</v>
      </c>
    </row>
    <row r="4" spans="1:2" ht="18">
      <c r="A4" s="7" t="s">
        <v>253</v>
      </c>
    </row>
    <row r="7" spans="1:2" ht="18">
      <c r="A7"/>
    </row>
  </sheetData>
  <phoneticPr fontId="2"/>
  <hyperlinks>
    <hyperlink ref="A4" r:id="rId1" xr:uid="{00DC73FF-021A-4491-B86B-80D80129EDD2}"/>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84F93-C4D7-404A-BEC1-1490FD8E8564}">
  <dimension ref="A1:H4"/>
  <sheetViews>
    <sheetView workbookViewId="0"/>
  </sheetViews>
  <sheetFormatPr defaultRowHeight="15"/>
  <cols>
    <col min="1" max="8" width="27.25" style="3" customWidth="1"/>
    <col min="9" max="16384" width="8.6640625" style="3"/>
  </cols>
  <sheetData>
    <row r="1" spans="1:8" ht="19">
      <c r="A1" s="2" t="s">
        <v>107</v>
      </c>
    </row>
    <row r="3" spans="1:8">
      <c r="A3" s="5" t="s">
        <v>36</v>
      </c>
      <c r="B3" s="5" t="s">
        <v>37</v>
      </c>
      <c r="C3" s="5" t="s">
        <v>38</v>
      </c>
      <c r="D3" s="5" t="s">
        <v>39</v>
      </c>
      <c r="E3" s="5" t="s">
        <v>40</v>
      </c>
      <c r="F3" s="5" t="s">
        <v>41</v>
      </c>
      <c r="G3" s="5" t="s">
        <v>42</v>
      </c>
      <c r="H3" s="5" t="s">
        <v>28</v>
      </c>
    </row>
    <row r="4" spans="1:8" ht="30">
      <c r="A4" s="19" t="s">
        <v>173</v>
      </c>
      <c r="B4" s="19" t="s">
        <v>53</v>
      </c>
      <c r="C4" s="20" t="s">
        <v>176</v>
      </c>
      <c r="D4" s="19" t="s">
        <v>174</v>
      </c>
      <c r="E4" s="19"/>
      <c r="F4" s="19"/>
      <c r="G4" s="19" t="s">
        <v>175</v>
      </c>
      <c r="H4" s="19"/>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6522A-3DC5-46DB-9FBC-349CB11A7ED9}">
  <dimension ref="A1:J19"/>
  <sheetViews>
    <sheetView tabSelected="1" zoomScale="115" zoomScaleNormal="115" workbookViewId="0">
      <selection activeCell="C25" sqref="C25"/>
    </sheetView>
  </sheetViews>
  <sheetFormatPr defaultRowHeight="18"/>
  <cols>
    <col min="1" max="1" width="8.6640625" style="29"/>
    <col min="2" max="2" width="17.83203125" style="29" customWidth="1"/>
    <col min="3" max="3" width="34.83203125" style="29" customWidth="1"/>
    <col min="4" max="10" width="16.1640625" style="29" customWidth="1"/>
    <col min="11" max="16384" width="8.6640625" style="29"/>
  </cols>
  <sheetData>
    <row r="1" spans="1:10" ht="22.5">
      <c r="A1" s="34" t="s">
        <v>378</v>
      </c>
    </row>
    <row r="2" spans="1:10">
      <c r="A2" s="33" t="s">
        <v>382</v>
      </c>
      <c r="B2" s="28" t="s">
        <v>395</v>
      </c>
      <c r="C2" s="28" t="s">
        <v>396</v>
      </c>
      <c r="D2" s="32" t="s">
        <v>213</v>
      </c>
      <c r="E2" s="32" t="s">
        <v>214</v>
      </c>
      <c r="F2" s="32" t="s">
        <v>215</v>
      </c>
      <c r="G2" s="32" t="s">
        <v>216</v>
      </c>
      <c r="H2" s="32" t="s">
        <v>217</v>
      </c>
      <c r="I2" s="32" t="s">
        <v>388</v>
      </c>
      <c r="J2" s="32" t="s">
        <v>218</v>
      </c>
    </row>
    <row r="3" spans="1:10">
      <c r="A3" s="31" t="s">
        <v>383</v>
      </c>
      <c r="B3" s="31" t="s">
        <v>389</v>
      </c>
      <c r="C3" s="31"/>
      <c r="D3" s="30">
        <v>13</v>
      </c>
      <c r="E3" s="30">
        <v>6</v>
      </c>
      <c r="F3" s="30">
        <v>11</v>
      </c>
      <c r="G3" s="30">
        <v>8</v>
      </c>
      <c r="H3" s="30">
        <v>9</v>
      </c>
      <c r="I3" s="30"/>
      <c r="J3" s="30"/>
    </row>
    <row r="4" spans="1:10">
      <c r="A4" s="31" t="s">
        <v>384</v>
      </c>
      <c r="B4" s="31" t="s">
        <v>390</v>
      </c>
      <c r="C4" s="31"/>
      <c r="D4" s="30"/>
      <c r="E4" s="30"/>
      <c r="F4" s="30">
        <v>12</v>
      </c>
      <c r="G4" s="30">
        <v>8</v>
      </c>
      <c r="H4" s="30">
        <v>10</v>
      </c>
      <c r="I4" s="30">
        <v>7</v>
      </c>
      <c r="J4" s="30">
        <v>13</v>
      </c>
    </row>
    <row r="5" spans="1:10">
      <c r="A5" s="31" t="s">
        <v>385</v>
      </c>
      <c r="B5" s="31" t="s">
        <v>391</v>
      </c>
      <c r="C5" s="31"/>
      <c r="D5" s="30">
        <v>6</v>
      </c>
      <c r="E5" s="30"/>
      <c r="F5" s="30">
        <v>11</v>
      </c>
      <c r="G5" s="30">
        <v>9</v>
      </c>
      <c r="H5" s="30"/>
      <c r="I5" s="30">
        <v>8</v>
      </c>
      <c r="J5" s="30">
        <v>12</v>
      </c>
    </row>
    <row r="6" spans="1:10">
      <c r="A6" s="31" t="s">
        <v>386</v>
      </c>
      <c r="B6" s="31" t="s">
        <v>392</v>
      </c>
      <c r="C6" s="31"/>
      <c r="D6" s="30">
        <v>12</v>
      </c>
      <c r="E6" s="30">
        <v>15</v>
      </c>
      <c r="F6" s="30">
        <v>8</v>
      </c>
      <c r="G6" s="30"/>
      <c r="H6" s="30">
        <v>4</v>
      </c>
      <c r="I6" s="30"/>
      <c r="J6" s="30">
        <v>7</v>
      </c>
    </row>
    <row r="7" spans="1:10" s="16" customFormat="1">
      <c r="A7" s="37" t="s">
        <v>387</v>
      </c>
      <c r="B7" s="37" t="s">
        <v>393</v>
      </c>
      <c r="C7" s="37" t="s">
        <v>394</v>
      </c>
      <c r="D7" s="38">
        <f>SUM(D3:D6)</f>
        <v>31</v>
      </c>
      <c r="E7" s="38">
        <f t="shared" ref="E7:J7" si="0">SUM(E3:E6)</f>
        <v>21</v>
      </c>
      <c r="F7" s="38">
        <f t="shared" si="0"/>
        <v>42</v>
      </c>
      <c r="G7" s="38">
        <f t="shared" si="0"/>
        <v>25</v>
      </c>
      <c r="H7" s="38">
        <f t="shared" si="0"/>
        <v>23</v>
      </c>
      <c r="I7" s="38">
        <f t="shared" si="0"/>
        <v>15</v>
      </c>
      <c r="J7" s="38">
        <f t="shared" si="0"/>
        <v>32</v>
      </c>
    </row>
    <row r="8" spans="1:10" ht="7.5" customHeight="1"/>
    <row r="9" spans="1:10" s="16" customFormat="1">
      <c r="A9" s="31" t="s">
        <v>397</v>
      </c>
      <c r="B9" s="31" t="s">
        <v>409</v>
      </c>
      <c r="C9" s="31"/>
      <c r="D9" s="30">
        <v>91</v>
      </c>
      <c r="E9" s="30">
        <v>73</v>
      </c>
      <c r="F9" s="30">
        <v>103</v>
      </c>
      <c r="G9" s="30">
        <v>84</v>
      </c>
      <c r="H9" s="30">
        <v>75</v>
      </c>
      <c r="I9" s="30">
        <v>48</v>
      </c>
      <c r="J9" s="30">
        <v>50</v>
      </c>
    </row>
    <row r="10" spans="1:10" ht="7.5" customHeight="1"/>
    <row r="11" spans="1:10" s="16" customFormat="1">
      <c r="A11" s="37" t="s">
        <v>398</v>
      </c>
      <c r="B11" s="37" t="s">
        <v>399</v>
      </c>
      <c r="C11" s="37" t="s">
        <v>400</v>
      </c>
      <c r="D11" s="38">
        <f>D9-D7</f>
        <v>60</v>
      </c>
      <c r="E11" s="38">
        <f t="shared" ref="E11:J11" si="1">E9-E7</f>
        <v>52</v>
      </c>
      <c r="F11" s="38">
        <f t="shared" si="1"/>
        <v>61</v>
      </c>
      <c r="G11" s="38">
        <f t="shared" si="1"/>
        <v>59</v>
      </c>
      <c r="H11" s="38">
        <f t="shared" si="1"/>
        <v>52</v>
      </c>
      <c r="I11" s="38">
        <f t="shared" si="1"/>
        <v>33</v>
      </c>
      <c r="J11" s="38">
        <f t="shared" si="1"/>
        <v>18</v>
      </c>
    </row>
    <row r="12" spans="1:10" ht="7.5" customHeight="1"/>
    <row r="13" spans="1:10" s="16" customFormat="1">
      <c r="A13" s="37" t="s">
        <v>401</v>
      </c>
      <c r="B13" s="37" t="s">
        <v>410</v>
      </c>
      <c r="C13" s="37"/>
      <c r="D13" s="38">
        <v>50</v>
      </c>
      <c r="E13" s="38">
        <v>40</v>
      </c>
      <c r="F13" s="38">
        <v>50</v>
      </c>
      <c r="G13" s="38">
        <v>30</v>
      </c>
      <c r="H13" s="38">
        <v>40</v>
      </c>
      <c r="I13" s="38">
        <v>30</v>
      </c>
      <c r="J13" s="38">
        <v>40</v>
      </c>
    </row>
    <row r="14" spans="1:10" ht="19" customHeight="1">
      <c r="A14" s="31" t="s">
        <v>411</v>
      </c>
      <c r="B14" s="31" t="s">
        <v>412</v>
      </c>
      <c r="C14" s="31"/>
      <c r="D14" s="30">
        <v>100</v>
      </c>
      <c r="E14" s="30">
        <v>80</v>
      </c>
      <c r="F14" s="30">
        <v>100</v>
      </c>
      <c r="G14" s="30">
        <v>60</v>
      </c>
      <c r="H14" s="30">
        <v>80</v>
      </c>
      <c r="I14" s="30">
        <v>60</v>
      </c>
      <c r="J14" s="30">
        <v>80</v>
      </c>
    </row>
    <row r="15" spans="1:10" ht="7.5" customHeight="1"/>
    <row r="16" spans="1:10">
      <c r="A16" s="31" t="s">
        <v>402</v>
      </c>
      <c r="B16" s="31" t="s">
        <v>413</v>
      </c>
      <c r="C16" s="31" t="s">
        <v>403</v>
      </c>
      <c r="D16" s="35"/>
      <c r="E16" s="35"/>
      <c r="F16" s="35"/>
      <c r="G16" s="35"/>
      <c r="H16" s="35"/>
      <c r="I16" s="35"/>
      <c r="J16" s="36" t="str">
        <f t="shared" ref="E16:J16" si="2">IF(J11&gt;J13,"発注不要","発注必要")</f>
        <v>発注必要</v>
      </c>
    </row>
    <row r="17" spans="1:10">
      <c r="A17" s="31" t="s">
        <v>405</v>
      </c>
      <c r="B17" s="31" t="s">
        <v>404</v>
      </c>
      <c r="C17" s="31" t="s">
        <v>414</v>
      </c>
      <c r="D17" s="30">
        <v>0</v>
      </c>
      <c r="E17" s="30">
        <v>0</v>
      </c>
      <c r="F17" s="30">
        <v>0</v>
      </c>
      <c r="G17" s="30">
        <v>0</v>
      </c>
      <c r="H17" s="30">
        <v>0</v>
      </c>
      <c r="I17" s="30">
        <v>0</v>
      </c>
      <c r="J17" s="30">
        <v>80</v>
      </c>
    </row>
    <row r="18" spans="1:10" ht="7.5" customHeight="1"/>
    <row r="19" spans="1:10" s="16" customFormat="1">
      <c r="A19" s="37" t="s">
        <v>407</v>
      </c>
      <c r="B19" s="37" t="s">
        <v>406</v>
      </c>
      <c r="C19" s="37" t="s">
        <v>408</v>
      </c>
      <c r="D19" s="38">
        <f>D11+D17</f>
        <v>60</v>
      </c>
      <c r="E19" s="38">
        <f t="shared" ref="E19:J19" si="3">E11+E17</f>
        <v>52</v>
      </c>
      <c r="F19" s="38">
        <f t="shared" si="3"/>
        <v>61</v>
      </c>
      <c r="G19" s="38">
        <f t="shared" si="3"/>
        <v>59</v>
      </c>
      <c r="H19" s="38">
        <f t="shared" si="3"/>
        <v>52</v>
      </c>
      <c r="I19" s="38">
        <f t="shared" si="3"/>
        <v>33</v>
      </c>
      <c r="J19" s="38">
        <f t="shared" si="3"/>
        <v>98</v>
      </c>
    </row>
  </sheetData>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B4002-DBA6-4C29-8F67-0F5EED34A8DE}">
  <sheetPr>
    <tabColor theme="0" tint="-0.499984740745262"/>
  </sheetPr>
  <dimension ref="A1"/>
  <sheetViews>
    <sheetView workbookViewId="0">
      <selection activeCell="C16" sqref="C16"/>
    </sheetView>
  </sheetViews>
  <sheetFormatPr defaultRowHeight="18"/>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E1FDF-4596-4FAB-9F97-EB0D2EBF4162}">
  <sheetPr>
    <tabColor theme="0" tint="-0.499984740745262"/>
  </sheetPr>
  <dimension ref="A1:F9"/>
  <sheetViews>
    <sheetView zoomScaleNormal="100" workbookViewId="0">
      <selection activeCell="C16" sqref="C16"/>
    </sheetView>
  </sheetViews>
  <sheetFormatPr defaultRowHeight="15"/>
  <cols>
    <col min="1" max="8" width="27.25" style="3" customWidth="1"/>
    <col min="9" max="16384" width="8.6640625" style="3"/>
  </cols>
  <sheetData>
    <row r="1" spans="1:6" ht="19">
      <c r="A1" s="2" t="s">
        <v>47</v>
      </c>
    </row>
    <row r="3" spans="1:6">
      <c r="A3" s="5" t="s">
        <v>30</v>
      </c>
      <c r="B3" s="5" t="s">
        <v>68</v>
      </c>
      <c r="C3" s="5" t="s">
        <v>69</v>
      </c>
      <c r="D3" s="5" t="s">
        <v>70</v>
      </c>
      <c r="E3" s="5" t="s">
        <v>28</v>
      </c>
      <c r="F3" s="5" t="s">
        <v>177</v>
      </c>
    </row>
    <row r="4" spans="1:6">
      <c r="A4" s="15" t="s">
        <v>71</v>
      </c>
      <c r="B4" s="15" t="s">
        <v>72</v>
      </c>
      <c r="C4" s="15" t="s">
        <v>73</v>
      </c>
      <c r="D4" s="15" t="s">
        <v>74</v>
      </c>
      <c r="E4" s="15"/>
      <c r="F4" s="15" t="s">
        <v>178</v>
      </c>
    </row>
    <row r="5" spans="1:6">
      <c r="A5" s="15" t="s">
        <v>75</v>
      </c>
      <c r="B5" s="15" t="s">
        <v>76</v>
      </c>
      <c r="C5" s="15" t="s">
        <v>73</v>
      </c>
      <c r="D5" s="15" t="s">
        <v>77</v>
      </c>
      <c r="E5" s="15"/>
      <c r="F5" s="15" t="s">
        <v>178</v>
      </c>
    </row>
    <row r="6" spans="1:6">
      <c r="A6" s="15" t="s">
        <v>78</v>
      </c>
      <c r="B6" s="15" t="s">
        <v>79</v>
      </c>
      <c r="C6" s="15" t="s">
        <v>80</v>
      </c>
      <c r="D6" s="15" t="s">
        <v>81</v>
      </c>
      <c r="E6" s="15"/>
      <c r="F6" s="15" t="s">
        <v>178</v>
      </c>
    </row>
    <row r="7" spans="1:6" ht="18">
      <c r="A7"/>
      <c r="B7"/>
      <c r="C7"/>
      <c r="D7"/>
      <c r="E7"/>
      <c r="F7"/>
    </row>
    <row r="8" spans="1:6" ht="18">
      <c r="A8"/>
      <c r="B8"/>
      <c r="C8"/>
      <c r="D8"/>
      <c r="E8"/>
      <c r="F8"/>
    </row>
    <row r="9" spans="1:6" ht="18">
      <c r="A9"/>
      <c r="B9"/>
      <c r="C9"/>
      <c r="D9"/>
      <c r="E9"/>
      <c r="F9"/>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D745-FA7B-4397-B3D5-ABFB8777A3F6}">
  <sheetPr>
    <tabColor theme="0" tint="-0.499984740745262"/>
  </sheetPr>
  <dimension ref="A1:F13"/>
  <sheetViews>
    <sheetView workbookViewId="0">
      <selection activeCell="C16" sqref="C16"/>
    </sheetView>
  </sheetViews>
  <sheetFormatPr defaultRowHeight="15"/>
  <cols>
    <col min="1" max="8" width="27.25" style="3" customWidth="1"/>
    <col min="9" max="16384" width="8.6640625" style="3"/>
  </cols>
  <sheetData>
    <row r="1" spans="1:6" ht="19">
      <c r="A1" s="2" t="s">
        <v>106</v>
      </c>
    </row>
    <row r="3" spans="1:6" ht="30">
      <c r="A3" s="5" t="s">
        <v>30</v>
      </c>
      <c r="B3" s="5" t="s">
        <v>31</v>
      </c>
      <c r="C3" s="5" t="s">
        <v>25</v>
      </c>
      <c r="D3" s="5" t="s">
        <v>82</v>
      </c>
      <c r="E3" s="5" t="s">
        <v>27</v>
      </c>
      <c r="F3" s="5" t="s">
        <v>28</v>
      </c>
    </row>
    <row r="4" spans="1:6">
      <c r="A4" s="15" t="s">
        <v>71</v>
      </c>
      <c r="B4" s="15" t="s">
        <v>72</v>
      </c>
      <c r="C4" s="15" t="s">
        <v>83</v>
      </c>
      <c r="D4" s="15" t="s">
        <v>84</v>
      </c>
      <c r="E4" s="15" t="s">
        <v>73</v>
      </c>
      <c r="F4" s="15" t="s">
        <v>85</v>
      </c>
    </row>
    <row r="5" spans="1:6">
      <c r="A5" s="15" t="s">
        <v>71</v>
      </c>
      <c r="B5" s="15" t="s">
        <v>86</v>
      </c>
      <c r="C5" s="15" t="s">
        <v>87</v>
      </c>
      <c r="D5" s="15" t="s">
        <v>88</v>
      </c>
      <c r="E5" s="15" t="s">
        <v>73</v>
      </c>
      <c r="F5" s="15" t="s">
        <v>89</v>
      </c>
    </row>
    <row r="6" spans="1:6">
      <c r="A6" s="15" t="s">
        <v>71</v>
      </c>
      <c r="B6" s="15" t="s">
        <v>90</v>
      </c>
      <c r="C6" s="15" t="s">
        <v>91</v>
      </c>
      <c r="D6" s="15" t="s">
        <v>92</v>
      </c>
      <c r="E6" s="15" t="s">
        <v>73</v>
      </c>
      <c r="F6" s="15" t="s">
        <v>93</v>
      </c>
    </row>
    <row r="7" spans="1:6">
      <c r="A7" s="15" t="s">
        <v>75</v>
      </c>
      <c r="B7" s="15" t="s">
        <v>76</v>
      </c>
      <c r="C7" s="15" t="s">
        <v>83</v>
      </c>
      <c r="D7" s="15" t="s">
        <v>84</v>
      </c>
      <c r="E7" s="15" t="s">
        <v>73</v>
      </c>
      <c r="F7" s="15" t="s">
        <v>94</v>
      </c>
    </row>
    <row r="8" spans="1:6">
      <c r="A8" s="15" t="s">
        <v>75</v>
      </c>
      <c r="B8" s="15" t="s">
        <v>86</v>
      </c>
      <c r="C8" s="15" t="s">
        <v>91</v>
      </c>
      <c r="D8" s="15" t="s">
        <v>88</v>
      </c>
      <c r="E8" s="15" t="s">
        <v>73</v>
      </c>
      <c r="F8" s="15" t="s">
        <v>95</v>
      </c>
    </row>
    <row r="9" spans="1:6">
      <c r="A9" s="15" t="s">
        <v>75</v>
      </c>
      <c r="B9" s="15" t="s">
        <v>96</v>
      </c>
      <c r="C9" s="15" t="s">
        <v>97</v>
      </c>
      <c r="D9" s="15" t="s">
        <v>88</v>
      </c>
      <c r="E9" s="15">
        <v>0</v>
      </c>
      <c r="F9" s="15" t="s">
        <v>98</v>
      </c>
    </row>
    <row r="10" spans="1:6">
      <c r="A10" s="15" t="s">
        <v>78</v>
      </c>
      <c r="B10" s="15" t="s">
        <v>79</v>
      </c>
      <c r="C10" s="15" t="s">
        <v>83</v>
      </c>
      <c r="D10" s="15" t="s">
        <v>84</v>
      </c>
      <c r="E10" s="15" t="s">
        <v>73</v>
      </c>
      <c r="F10" s="15" t="s">
        <v>99</v>
      </c>
    </row>
    <row r="11" spans="1:6">
      <c r="A11" s="15" t="s">
        <v>78</v>
      </c>
      <c r="B11" s="15" t="s">
        <v>72</v>
      </c>
      <c r="C11" s="15" t="s">
        <v>83</v>
      </c>
      <c r="D11" s="15" t="s">
        <v>100</v>
      </c>
      <c r="E11" s="15" t="s">
        <v>73</v>
      </c>
      <c r="F11" s="15" t="s">
        <v>101</v>
      </c>
    </row>
    <row r="12" spans="1:6">
      <c r="A12" s="15" t="s">
        <v>78</v>
      </c>
      <c r="B12" s="15" t="s">
        <v>76</v>
      </c>
      <c r="C12" s="15" t="s">
        <v>83</v>
      </c>
      <c r="D12" s="15" t="s">
        <v>102</v>
      </c>
      <c r="E12" s="15" t="s">
        <v>73</v>
      </c>
      <c r="F12" s="15" t="s">
        <v>103</v>
      </c>
    </row>
    <row r="13" spans="1:6">
      <c r="A13" s="15" t="s">
        <v>78</v>
      </c>
      <c r="B13" s="15" t="s">
        <v>104</v>
      </c>
      <c r="C13" s="15" t="s">
        <v>83</v>
      </c>
      <c r="D13" s="15" t="s">
        <v>88</v>
      </c>
      <c r="E13" s="15">
        <v>1</v>
      </c>
      <c r="F13" s="15" t="s">
        <v>105</v>
      </c>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3C78-B995-41CE-BAEA-380D20B3E6AE}">
  <sheetPr>
    <tabColor theme="0" tint="-0.499984740745262"/>
  </sheetPr>
  <dimension ref="A1:F11"/>
  <sheetViews>
    <sheetView workbookViewId="0">
      <selection activeCell="C16" sqref="C16"/>
    </sheetView>
  </sheetViews>
  <sheetFormatPr defaultRowHeight="15"/>
  <cols>
    <col min="1" max="8" width="27.25" style="3" customWidth="1"/>
    <col min="9" max="16384" width="8.6640625" style="3"/>
  </cols>
  <sheetData>
    <row r="1" spans="1:6" ht="19">
      <c r="A1" s="2" t="s">
        <v>147</v>
      </c>
    </row>
    <row r="3" spans="1:6">
      <c r="A3" s="5" t="s">
        <v>109</v>
      </c>
      <c r="B3" s="5" t="s">
        <v>110</v>
      </c>
      <c r="C3" s="5" t="s">
        <v>111</v>
      </c>
      <c r="D3" s="5" t="s">
        <v>112</v>
      </c>
      <c r="E3" s="5" t="s">
        <v>113</v>
      </c>
      <c r="F3" s="5" t="s">
        <v>28</v>
      </c>
    </row>
    <row r="4" spans="1:6">
      <c r="A4" s="15" t="s">
        <v>114</v>
      </c>
      <c r="B4" s="15" t="s">
        <v>115</v>
      </c>
      <c r="C4" s="15" t="s">
        <v>116</v>
      </c>
      <c r="D4" s="15" t="s">
        <v>73</v>
      </c>
      <c r="E4" s="15" t="s">
        <v>117</v>
      </c>
      <c r="F4" s="15"/>
    </row>
    <row r="5" spans="1:6">
      <c r="A5" s="15" t="s">
        <v>118</v>
      </c>
      <c r="B5" s="15" t="s">
        <v>117</v>
      </c>
      <c r="C5" s="15" t="s">
        <v>119</v>
      </c>
      <c r="D5" s="15" t="s">
        <v>115</v>
      </c>
      <c r="E5" s="15" t="s">
        <v>120</v>
      </c>
      <c r="F5" s="15"/>
    </row>
    <row r="6" spans="1:6">
      <c r="A6" s="15" t="s">
        <v>121</v>
      </c>
      <c r="B6" s="15" t="s">
        <v>122</v>
      </c>
      <c r="C6" s="15" t="s">
        <v>123</v>
      </c>
      <c r="D6" s="15" t="s">
        <v>117</v>
      </c>
      <c r="E6" s="15" t="s">
        <v>124</v>
      </c>
      <c r="F6" s="15"/>
    </row>
    <row r="7" spans="1:6">
      <c r="A7" s="15" t="s">
        <v>125</v>
      </c>
      <c r="B7" s="15" t="s">
        <v>126</v>
      </c>
      <c r="C7" s="15" t="s">
        <v>127</v>
      </c>
      <c r="D7" s="15" t="s">
        <v>117</v>
      </c>
      <c r="E7" s="15" t="s">
        <v>128</v>
      </c>
      <c r="F7" s="15"/>
    </row>
    <row r="8" spans="1:6">
      <c r="A8" s="15" t="s">
        <v>129</v>
      </c>
      <c r="B8" s="15" t="s">
        <v>130</v>
      </c>
      <c r="C8" s="15" t="s">
        <v>131</v>
      </c>
      <c r="D8" s="15" t="s">
        <v>128</v>
      </c>
      <c r="E8" s="15" t="s">
        <v>132</v>
      </c>
      <c r="F8" s="15"/>
    </row>
    <row r="10" spans="1:6" ht="18">
      <c r="A10"/>
      <c r="B10"/>
      <c r="C10"/>
      <c r="D10"/>
      <c r="E10"/>
      <c r="F10"/>
    </row>
    <row r="11" spans="1:6" ht="18">
      <c r="A11"/>
      <c r="B11"/>
      <c r="C11"/>
      <c r="D11"/>
      <c r="E11"/>
      <c r="F11"/>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831B-F393-4F30-B7E2-AAEF4B0140BE}">
  <sheetPr>
    <tabColor theme="0" tint="-0.499984740745262"/>
  </sheetPr>
  <dimension ref="A1:F7"/>
  <sheetViews>
    <sheetView workbookViewId="0">
      <selection activeCell="C16" sqref="C16"/>
    </sheetView>
  </sheetViews>
  <sheetFormatPr defaultRowHeight="15"/>
  <cols>
    <col min="1" max="8" width="27.25" style="3" customWidth="1"/>
    <col min="9" max="16384" width="8.6640625" style="3"/>
  </cols>
  <sheetData>
    <row r="1" spans="1:6" ht="19">
      <c r="A1" s="2" t="s">
        <v>148</v>
      </c>
    </row>
    <row r="3" spans="1:6" ht="30">
      <c r="A3" s="5" t="s">
        <v>109</v>
      </c>
      <c r="B3" s="5" t="s">
        <v>110</v>
      </c>
      <c r="C3" s="5" t="s">
        <v>133</v>
      </c>
      <c r="D3" s="5" t="s">
        <v>134</v>
      </c>
      <c r="E3" s="5" t="s">
        <v>28</v>
      </c>
    </row>
    <row r="4" spans="1:6">
      <c r="A4" s="15" t="s">
        <v>114</v>
      </c>
      <c r="B4" s="15" t="s">
        <v>115</v>
      </c>
      <c r="C4" s="15" t="s">
        <v>135</v>
      </c>
      <c r="D4" s="15" t="s">
        <v>136</v>
      </c>
      <c r="E4" s="15"/>
    </row>
    <row r="5" spans="1:6">
      <c r="A5" s="15" t="s">
        <v>118</v>
      </c>
      <c r="B5" s="15" t="s">
        <v>117</v>
      </c>
      <c r="C5" s="15" t="s">
        <v>135</v>
      </c>
      <c r="D5" s="15" t="s">
        <v>137</v>
      </c>
      <c r="E5" s="15"/>
    </row>
    <row r="6" spans="1:6" ht="18">
      <c r="A6"/>
      <c r="B6"/>
      <c r="C6"/>
      <c r="D6"/>
      <c r="E6"/>
      <c r="F6"/>
    </row>
    <row r="7" spans="1:6" ht="18">
      <c r="A7"/>
      <c r="B7"/>
      <c r="C7"/>
      <c r="D7"/>
      <c r="E7"/>
      <c r="F7"/>
    </row>
  </sheetData>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54E48-727C-46F0-B2BF-A7BCFE51C2C7}">
  <sheetPr>
    <tabColor theme="0" tint="-0.499984740745262"/>
  </sheetPr>
  <dimension ref="A1:F10"/>
  <sheetViews>
    <sheetView workbookViewId="0">
      <selection activeCell="C16" sqref="C16"/>
    </sheetView>
  </sheetViews>
  <sheetFormatPr defaultRowHeight="15"/>
  <cols>
    <col min="1" max="8" width="27.25" style="3" customWidth="1"/>
    <col min="9" max="16384" width="8.6640625" style="3"/>
  </cols>
  <sheetData>
    <row r="1" spans="1:6" ht="19">
      <c r="A1" s="2" t="s">
        <v>149</v>
      </c>
      <c r="F1"/>
    </row>
    <row r="2" spans="1:6" ht="18">
      <c r="F2"/>
    </row>
    <row r="3" spans="1:6" ht="30">
      <c r="A3" s="5" t="s">
        <v>109</v>
      </c>
      <c r="B3" s="5" t="s">
        <v>110</v>
      </c>
      <c r="C3" s="5" t="s">
        <v>32</v>
      </c>
      <c r="D3" s="5" t="s">
        <v>33</v>
      </c>
      <c r="E3" s="5" t="s">
        <v>34</v>
      </c>
      <c r="F3" s="5" t="s">
        <v>35</v>
      </c>
    </row>
    <row r="4" spans="1:6">
      <c r="A4" s="15" t="s">
        <v>114</v>
      </c>
      <c r="B4" s="15" t="s">
        <v>115</v>
      </c>
      <c r="C4" s="15" t="s">
        <v>138</v>
      </c>
      <c r="D4" s="15" t="s">
        <v>140</v>
      </c>
      <c r="E4" s="15" t="s">
        <v>141</v>
      </c>
      <c r="F4" s="15" t="s">
        <v>142</v>
      </c>
    </row>
    <row r="5" spans="1:6">
      <c r="A5" s="15"/>
      <c r="B5" s="15"/>
      <c r="C5" s="15" t="s">
        <v>139</v>
      </c>
      <c r="D5" s="15"/>
      <c r="E5" s="15"/>
      <c r="F5" s="15"/>
    </row>
    <row r="6" spans="1:6">
      <c r="A6" s="15" t="s">
        <v>118</v>
      </c>
      <c r="B6" s="15" t="s">
        <v>117</v>
      </c>
      <c r="C6" s="15" t="s">
        <v>73</v>
      </c>
      <c r="D6" s="15" t="s">
        <v>143</v>
      </c>
      <c r="E6" s="15" t="s">
        <v>145</v>
      </c>
      <c r="F6" s="15" t="s">
        <v>73</v>
      </c>
    </row>
    <row r="7" spans="1:6">
      <c r="A7" s="15"/>
      <c r="B7" s="15"/>
      <c r="C7" s="15"/>
      <c r="D7" s="15" t="s">
        <v>144</v>
      </c>
      <c r="E7" s="15"/>
      <c r="F7" s="15"/>
    </row>
    <row r="8" spans="1:6" ht="18">
      <c r="A8" s="1"/>
      <c r="B8" s="1"/>
      <c r="C8" s="1"/>
      <c r="D8" s="1"/>
      <c r="E8" s="1"/>
      <c r="F8"/>
    </row>
    <row r="9" spans="1:6" ht="18">
      <c r="A9"/>
      <c r="B9"/>
      <c r="C9"/>
      <c r="D9"/>
      <c r="E9"/>
      <c r="F9"/>
    </row>
    <row r="10" spans="1:6" ht="18">
      <c r="A10"/>
      <c r="B10"/>
      <c r="C10"/>
      <c r="D10"/>
      <c r="E10"/>
      <c r="F10"/>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開発の進め方・進捗</vt:lpstr>
      <vt:lpstr>①要件定義書</vt:lpstr>
      <vt:lpstr>②機能一覧</vt:lpstr>
      <vt:lpstr>③機能仕様書</vt:lpstr>
      <vt:lpstr>④データ項目表</vt:lpstr>
      <vt:lpstr>⑤クラス図</vt:lpstr>
      <vt:lpstr>⑥シーケンス図</vt:lpstr>
      <vt:lpstr>⑫テスト仕様書・結果報告書</vt:lpstr>
      <vt:lpstr>⑫想定結果</vt:lpstr>
      <vt:lpstr>今回作成不要→</vt:lpstr>
      <vt:lpstr>⑦ER図</vt:lpstr>
      <vt:lpstr>⑧DB設計書</vt:lpstr>
      <vt:lpstr>⑨画面一覧</vt:lpstr>
      <vt:lpstr>⑩ワイヤーフレーム</vt:lpstr>
      <vt:lpstr>⑪画面設計書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木曽未央</dc:creator>
  <cp:lastModifiedBy>未央 木曽</cp:lastModifiedBy>
  <dcterms:created xsi:type="dcterms:W3CDTF">2015-06-05T18:19:34Z</dcterms:created>
  <dcterms:modified xsi:type="dcterms:W3CDTF">2025-11-29T06:28:49Z</dcterms:modified>
</cp:coreProperties>
</file>